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ompany_Latest" sheetId="2" state="visible" r:id="rId2"/>
    <sheet xmlns:r="http://schemas.openxmlformats.org/officeDocument/2006/relationships" name="Data_Project_Raw" sheetId="3" state="visible" r:id="rId3"/>
    <sheet xmlns:r="http://schemas.openxmlformats.org/officeDocument/2006/relationships" name="Lists_Dropdow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Segoe UI"/>
      <b val="1"/>
      <color rgb="00FFFFFF"/>
    </font>
    <font>
      <name val="Segoe UI"/>
      <b val="1"/>
      <color rgb="00FFFFFF"/>
      <sz val="16"/>
    </font>
    <font>
      <name val="Segoe UI"/>
      <i val="1"/>
      <color rgb="00595959"/>
      <sz val="10"/>
    </font>
    <font>
      <name val="Segoe UI"/>
      <b val="1"/>
      <color rgb="001F4E78"/>
      <sz val="9"/>
    </font>
    <font>
      <name val="Segoe UI"/>
      <b val="1"/>
      <color rgb="00333333"/>
      <sz val="8"/>
    </font>
    <font>
      <name val="Segoe UI"/>
      <b val="1"/>
      <color rgb="001F4E78"/>
      <sz val="18"/>
    </font>
    <font>
      <name val="Segoe UI"/>
      <b val="1"/>
      <color rgb="00FFFFFF"/>
      <sz val="11"/>
    </font>
    <font>
      <name val="Segoe UI"/>
      <b val="1"/>
      <color rgb="00333333"/>
      <sz val="9"/>
    </font>
    <font>
      <name val="Segoe UI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BF1F5"/>
        <bgColor rgb="00EBF1F5"/>
      </patternFill>
    </fill>
    <fill>
      <patternFill patternType="solid">
        <fgColor rgb="00D9E1F2"/>
        <bgColor rgb="00D9E1F2"/>
      </patternFill>
    </fill>
    <fill>
      <patternFill patternType="solid">
        <fgColor rgb="00E9ECEF"/>
        <bgColor rgb="00E9ECE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3" borderId="0" applyAlignment="1" pivotButton="0" quotePrefix="0" xfId="0">
      <alignment horizontal="left" vertical="center" indent="1"/>
    </xf>
    <xf numFmtId="0" fontId="5" fillId="4" borderId="0" applyAlignment="1" pivotButton="0" quotePrefix="0" xfId="0">
      <alignment horizontal="center" vertical="center"/>
    </xf>
    <xf numFmtId="1" fontId="6" fillId="0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left" vertical="center" indent="1"/>
    </xf>
    <xf numFmtId="0" fontId="8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9" fillId="2" borderId="0" applyAlignment="1" pivotButton="0" quotePrefix="0" xfId="0">
      <alignment horizontal="center" vertic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9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5" customWidth="1" min="3" max="3"/>
    <col width="38" customWidth="1" min="4" max="4"/>
    <col width="18" customWidth="1" min="5" max="5"/>
    <col width="15" customWidth="1" min="6" max="6"/>
    <col width="52" customWidth="1" min="7" max="7"/>
    <col width="22" customWidth="1" min="8" max="8"/>
  </cols>
  <sheetData>
    <row r="1" ht="35" customHeight="1">
      <c r="A1" s="1" t="inlineStr">
        <is>
          <t>DASHBOARD COMPANY FOLLOW-UP &amp; PROGRESS REPORT</t>
        </is>
      </c>
    </row>
    <row r="2">
      <c r="A2" s="2" t="inlineStr">
        <is>
          <t>Data Terkonsolidasi Berdasarkan Project ID Terakhir (Lengkap dengan Dropdown &amp; Note Otomatis)</t>
        </is>
      </c>
    </row>
    <row r="3" ht="24" customHeight="1">
      <c r="A3" s="3" t="inlineStr">
        <is>
          <t>📌 FORMAT RUKUN NOTE PROGRESS: [Jenis &amp; Qty Unit] _ [Lama Masa Sewa] _ [Catatan Status Terbaru]   (Contoh: Forklift 3 Ton (2 Unit) _ 2 Tahun _ SPH dikirim ke User)</t>
        </is>
      </c>
    </row>
    <row r="5" ht="20" customHeight="1">
      <c r="B5" s="4" t="inlineStr">
        <is>
          <t>TOTAL PERUSAHAAN UNIK</t>
        </is>
      </c>
      <c r="D5" s="4" t="inlineStr">
        <is>
          <t>ACTIVE PROSPECTS</t>
        </is>
      </c>
      <c r="E5" s="4" t="inlineStr">
        <is>
          <t>ACTIVE LEADS</t>
        </is>
      </c>
      <c r="F5" s="4" t="inlineStr">
        <is>
          <t>DEAL / WON</t>
        </is>
      </c>
      <c r="G5" s="4" t="inlineStr">
        <is>
          <t>ALERT: OVERDUE / IDLE</t>
        </is>
      </c>
      <c r="H5" s="4" t="inlineStr">
        <is>
          <t>ALERT: WARNING (3-14 DAYS)</t>
        </is>
      </c>
    </row>
    <row r="6" ht="28" customHeight="1">
      <c r="B6" s="5">
        <f>COUNTA(Company_Latest!D2:D1000)</f>
        <v/>
      </c>
      <c r="D6" s="5">
        <f>COUNTIF(Company_Latest!H2:H1000, "Prospect")</f>
        <v/>
      </c>
      <c r="E6" s="5">
        <f>COUNTIF(Company_Latest!H2:H1000, "Leads")</f>
        <v/>
      </c>
      <c r="F6" s="5">
        <f>COUNTIF(Company_Latest!H2:H1000, "Deal / Won")</f>
        <v/>
      </c>
      <c r="G6" s="5">
        <f>COUNTIF(Company_Latest!L2:L1000, "OVERDUE (IDLE)")</f>
        <v/>
      </c>
      <c r="H6" s="5">
        <f>COUNTIF(Company_Latest!L2:L1000, "WARNING (3-14 Days)")</f>
        <v/>
      </c>
    </row>
    <row r="8" ht="25" customHeight="1">
      <c r="A8" s="6" t="inlineStr">
        <is>
          <t>DAFTAR TINDAKAN PRIORITAS (ACTION ALERT LIST - OTOMATIS BERDASARKAN CONSOLIDATED NOTE)</t>
        </is>
      </c>
    </row>
    <row r="9" ht="25" customHeight="1">
      <c r="A9" s="7" t="inlineStr">
        <is>
          <t>No</t>
        </is>
      </c>
      <c r="B9" s="7" t="inlineStr">
        <is>
          <t>Sales Officer</t>
        </is>
      </c>
      <c r="C9" s="7" t="inlineStr">
        <is>
          <t>Company ID</t>
        </is>
      </c>
      <c r="D9" s="7" t="inlineStr">
        <is>
          <t>Company Name</t>
        </is>
      </c>
      <c r="E9" s="7" t="inlineStr">
        <is>
          <t>Project ID Terakhir</t>
        </is>
      </c>
      <c r="F9" s="7" t="inlineStr">
        <is>
          <t>Last Progress</t>
        </is>
      </c>
      <c r="G9" s="7" t="inlineStr">
        <is>
          <t>Detail Progress &amp; Note ([Unit] _ [Masa Sewa] _ [Catatan])</t>
        </is>
      </c>
      <c r="H9" s="7" t="inlineStr">
        <is>
          <t>Status Alert</t>
        </is>
      </c>
    </row>
    <row r="10">
      <c r="A10" s="8">
        <f>IF(B10&lt;&gt;"", 1, "")</f>
        <v/>
      </c>
      <c r="B10" s="9">
        <f>IFERROR(INDEX(Company_Latest!C$2:C$500, SMALL(IF((Company_Latest!$L$2:$L$500="OVERDUE (IDLE)")+(Company_Latest!$L$2:$L$500="WARNING (3-14 Days)"), ROW(Company_Latest!$L$2:$L$500)-1), 1)), "")</f>
        <v/>
      </c>
      <c r="C10" s="8">
        <f>IFERROR(INDEX(Company_Latest!D$2:D$500, SMALL(IF((Company_Latest!$L$2:$L$500="OVERDUE (IDLE)")+(Company_Latest!$L$2:$L$500="WARNING (3-14 Days)"), ROW(Company_Latest!$L$2:$L$500)-1), 1)), "")</f>
        <v/>
      </c>
      <c r="D10" s="9">
        <f>IFERROR(INDEX(Company_Latest!E$2:E$500, SMALL(IF((Company_Latest!$L$2:$L$500="OVERDUE (IDLE)")+(Company_Latest!$L$2:$L$500="WARNING (3-14 Days)"), ROW(Company_Latest!$L$2:$L$500)-1), 1)), "")</f>
        <v/>
      </c>
      <c r="E10" s="8">
        <f>IFERROR(INDEX(Company_Latest!G$2:G$500, SMALL(IF((Company_Latest!$L$2:$L$500="OVERDUE (IDLE)")+(Company_Latest!$L$2:$L$500="WARNING (3-14 Days)"), ROW(Company_Latest!$L$2:$L$500)-1), 1)), "")</f>
        <v/>
      </c>
      <c r="F10" s="8">
        <f>IFERROR(INDEX(Company_Latest!H$2:H$500, SMALL(IF((Company_Latest!$L$2:$L$500="OVERDUE (IDLE)")+(Company_Latest!$L$2:$L$500="WARNING (3-14 Days)"), ROW(Company_Latest!$L$2:$L$500)-1), 1)), "")</f>
        <v/>
      </c>
      <c r="G10" s="9">
        <f>IFERROR(INDEX(Company_Latest!K$2:K$500, SMALL(IF((Company_Latest!$L$2:$L$500="OVERDUE (IDLE)")+(Company_Latest!$L$2:$L$500="WARNING (3-14 Days)"), ROW(Company_Latest!$L$2:$L$500)-1), 1)), "")</f>
        <v/>
      </c>
      <c r="H10" s="8">
        <f>IFERROR(INDEX(Company_Latest!L$2:L$500, SMALL(IF((Company_Latest!$L$2:$L$500="OVERDUE (IDLE)")+(Company_Latest!$L$2:$L$500="WARNING (3-14 Days)"), ROW(Company_Latest!$L$2:$L$500)-1), 1)), "")</f>
        <v/>
      </c>
    </row>
    <row r="11">
      <c r="A11" s="8">
        <f>IF(B11&lt;&gt;"", 2, "")</f>
        <v/>
      </c>
      <c r="B11" s="9">
        <f>IFERROR(INDEX(Company_Latest!C$2:C$500, SMALL(IF((Company_Latest!$L$2:$L$500="OVERDUE (IDLE)")+(Company_Latest!$L$2:$L$500="WARNING (3-14 Days)"), ROW(Company_Latest!$L$2:$L$500)-1), 2)), "")</f>
        <v/>
      </c>
      <c r="C11" s="8">
        <f>IFERROR(INDEX(Company_Latest!D$2:D$500, SMALL(IF((Company_Latest!$L$2:$L$500="OVERDUE (IDLE)")+(Company_Latest!$L$2:$L$500="WARNING (3-14 Days)"), ROW(Company_Latest!$L$2:$L$500)-1), 2)), "")</f>
        <v/>
      </c>
      <c r="D11" s="9">
        <f>IFERROR(INDEX(Company_Latest!E$2:E$500, SMALL(IF((Company_Latest!$L$2:$L$500="OVERDUE (IDLE)")+(Company_Latest!$L$2:$L$500="WARNING (3-14 Days)"), ROW(Company_Latest!$L$2:$L$500)-1), 2)), "")</f>
        <v/>
      </c>
      <c r="E11" s="8">
        <f>IFERROR(INDEX(Company_Latest!G$2:G$500, SMALL(IF((Company_Latest!$L$2:$L$500="OVERDUE (IDLE)")+(Company_Latest!$L$2:$L$500="WARNING (3-14 Days)"), ROW(Company_Latest!$L$2:$L$500)-1), 2)), "")</f>
        <v/>
      </c>
      <c r="F11" s="8">
        <f>IFERROR(INDEX(Company_Latest!H$2:H$500, SMALL(IF((Company_Latest!$L$2:$L$500="OVERDUE (IDLE)")+(Company_Latest!$L$2:$L$500="WARNING (3-14 Days)"), ROW(Company_Latest!$L$2:$L$500)-1), 2)), "")</f>
        <v/>
      </c>
      <c r="G11" s="9">
        <f>IFERROR(INDEX(Company_Latest!K$2:K$500, SMALL(IF((Company_Latest!$L$2:$L$500="OVERDUE (IDLE)")+(Company_Latest!$L$2:$L$500="WARNING (3-14 Days)"), ROW(Company_Latest!$L$2:$L$500)-1), 2)), "")</f>
        <v/>
      </c>
      <c r="H11" s="8">
        <f>IFERROR(INDEX(Company_Latest!L$2:L$500, SMALL(IF((Company_Latest!$L$2:$L$500="OVERDUE (IDLE)")+(Company_Latest!$L$2:$L$500="WARNING (3-14 Days)"), ROW(Company_Latest!$L$2:$L$500)-1), 2)), "")</f>
        <v/>
      </c>
    </row>
    <row r="12">
      <c r="A12" s="8">
        <f>IF(B12&lt;&gt;"", 3, "")</f>
        <v/>
      </c>
      <c r="B12" s="9">
        <f>IFERROR(INDEX(Company_Latest!C$2:C$500, SMALL(IF((Company_Latest!$L$2:$L$500="OVERDUE (IDLE)")+(Company_Latest!$L$2:$L$500="WARNING (3-14 Days)"), ROW(Company_Latest!$L$2:$L$500)-1), 3)), "")</f>
        <v/>
      </c>
      <c r="C12" s="8">
        <f>IFERROR(INDEX(Company_Latest!D$2:D$500, SMALL(IF((Company_Latest!$L$2:$L$500="OVERDUE (IDLE)")+(Company_Latest!$L$2:$L$500="WARNING (3-14 Days)"), ROW(Company_Latest!$L$2:$L$500)-1), 3)), "")</f>
        <v/>
      </c>
      <c r="D12" s="9">
        <f>IFERROR(INDEX(Company_Latest!E$2:E$500, SMALL(IF((Company_Latest!$L$2:$L$500="OVERDUE (IDLE)")+(Company_Latest!$L$2:$L$500="WARNING (3-14 Days)"), ROW(Company_Latest!$L$2:$L$500)-1), 3)), "")</f>
        <v/>
      </c>
      <c r="E12" s="8">
        <f>IFERROR(INDEX(Company_Latest!G$2:G$500, SMALL(IF((Company_Latest!$L$2:$L$500="OVERDUE (IDLE)")+(Company_Latest!$L$2:$L$500="WARNING (3-14 Days)"), ROW(Company_Latest!$L$2:$L$500)-1), 3)), "")</f>
        <v/>
      </c>
      <c r="F12" s="8">
        <f>IFERROR(INDEX(Company_Latest!H$2:H$500, SMALL(IF((Company_Latest!$L$2:$L$500="OVERDUE (IDLE)")+(Company_Latest!$L$2:$L$500="WARNING (3-14 Days)"), ROW(Company_Latest!$L$2:$L$500)-1), 3)), "")</f>
        <v/>
      </c>
      <c r="G12" s="9">
        <f>IFERROR(INDEX(Company_Latest!K$2:K$500, SMALL(IF((Company_Latest!$L$2:$L$500="OVERDUE (IDLE)")+(Company_Latest!$L$2:$L$500="WARNING (3-14 Days)"), ROW(Company_Latest!$L$2:$L$500)-1), 3)), "")</f>
        <v/>
      </c>
      <c r="H12" s="8">
        <f>IFERROR(INDEX(Company_Latest!L$2:L$500, SMALL(IF((Company_Latest!$L$2:$L$500="OVERDUE (IDLE)")+(Company_Latest!$L$2:$L$500="WARNING (3-14 Days)"), ROW(Company_Latest!$L$2:$L$500)-1), 3)), "")</f>
        <v/>
      </c>
    </row>
    <row r="13">
      <c r="A13" s="8">
        <f>IF(B13&lt;&gt;"", 4, "")</f>
        <v/>
      </c>
      <c r="B13" s="9">
        <f>IFERROR(INDEX(Company_Latest!C$2:C$500, SMALL(IF((Company_Latest!$L$2:$L$500="OVERDUE (IDLE)")+(Company_Latest!$L$2:$L$500="WARNING (3-14 Days)"), ROW(Company_Latest!$L$2:$L$500)-1), 4)), "")</f>
        <v/>
      </c>
      <c r="C13" s="8">
        <f>IFERROR(INDEX(Company_Latest!D$2:D$500, SMALL(IF((Company_Latest!$L$2:$L$500="OVERDUE (IDLE)")+(Company_Latest!$L$2:$L$500="WARNING (3-14 Days)"), ROW(Company_Latest!$L$2:$L$500)-1), 4)), "")</f>
        <v/>
      </c>
      <c r="D13" s="9">
        <f>IFERROR(INDEX(Company_Latest!E$2:E$500, SMALL(IF((Company_Latest!$L$2:$L$500="OVERDUE (IDLE)")+(Company_Latest!$L$2:$L$500="WARNING (3-14 Days)"), ROW(Company_Latest!$L$2:$L$500)-1), 4)), "")</f>
        <v/>
      </c>
      <c r="E13" s="8">
        <f>IFERROR(INDEX(Company_Latest!G$2:G$500, SMALL(IF((Company_Latest!$L$2:$L$500="OVERDUE (IDLE)")+(Company_Latest!$L$2:$L$500="WARNING (3-14 Days)"), ROW(Company_Latest!$L$2:$L$500)-1), 4)), "")</f>
        <v/>
      </c>
      <c r="F13" s="8">
        <f>IFERROR(INDEX(Company_Latest!H$2:H$500, SMALL(IF((Company_Latest!$L$2:$L$500="OVERDUE (IDLE)")+(Company_Latest!$L$2:$L$500="WARNING (3-14 Days)"), ROW(Company_Latest!$L$2:$L$500)-1), 4)), "")</f>
        <v/>
      </c>
      <c r="G13" s="9">
        <f>IFERROR(INDEX(Company_Latest!K$2:K$500, SMALL(IF((Company_Latest!$L$2:$L$500="OVERDUE (IDLE)")+(Company_Latest!$L$2:$L$500="WARNING (3-14 Days)"), ROW(Company_Latest!$L$2:$L$500)-1), 4)), "")</f>
        <v/>
      </c>
      <c r="H13" s="8">
        <f>IFERROR(INDEX(Company_Latest!L$2:L$500, SMALL(IF((Company_Latest!$L$2:$L$500="OVERDUE (IDLE)")+(Company_Latest!$L$2:$L$500="WARNING (3-14 Days)"), ROW(Company_Latest!$L$2:$L$500)-1), 4)), "")</f>
        <v/>
      </c>
    </row>
    <row r="14">
      <c r="A14" s="8">
        <f>IF(B14&lt;&gt;"", 5, "")</f>
        <v/>
      </c>
      <c r="B14" s="9">
        <f>IFERROR(INDEX(Company_Latest!C$2:C$500, SMALL(IF((Company_Latest!$L$2:$L$500="OVERDUE (IDLE)")+(Company_Latest!$L$2:$L$500="WARNING (3-14 Days)"), ROW(Company_Latest!$L$2:$L$500)-1), 5)), "")</f>
        <v/>
      </c>
      <c r="C14" s="8">
        <f>IFERROR(INDEX(Company_Latest!D$2:D$500, SMALL(IF((Company_Latest!$L$2:$L$500="OVERDUE (IDLE)")+(Company_Latest!$L$2:$L$500="WARNING (3-14 Days)"), ROW(Company_Latest!$L$2:$L$500)-1), 5)), "")</f>
        <v/>
      </c>
      <c r="D14" s="9">
        <f>IFERROR(INDEX(Company_Latest!E$2:E$500, SMALL(IF((Company_Latest!$L$2:$L$500="OVERDUE (IDLE)")+(Company_Latest!$L$2:$L$500="WARNING (3-14 Days)"), ROW(Company_Latest!$L$2:$L$500)-1), 5)), "")</f>
        <v/>
      </c>
      <c r="E14" s="8">
        <f>IFERROR(INDEX(Company_Latest!G$2:G$500, SMALL(IF((Company_Latest!$L$2:$L$500="OVERDUE (IDLE)")+(Company_Latest!$L$2:$L$500="WARNING (3-14 Days)"), ROW(Company_Latest!$L$2:$L$500)-1), 5)), "")</f>
        <v/>
      </c>
      <c r="F14" s="8">
        <f>IFERROR(INDEX(Company_Latest!H$2:H$500, SMALL(IF((Company_Latest!$L$2:$L$500="OVERDUE (IDLE)")+(Company_Latest!$L$2:$L$500="WARNING (3-14 Days)"), ROW(Company_Latest!$L$2:$L$500)-1), 5)), "")</f>
        <v/>
      </c>
      <c r="G14" s="9">
        <f>IFERROR(INDEX(Company_Latest!K$2:K$500, SMALL(IF((Company_Latest!$L$2:$L$500="OVERDUE (IDLE)")+(Company_Latest!$L$2:$L$500="WARNING (3-14 Days)"), ROW(Company_Latest!$L$2:$L$500)-1), 5)), "")</f>
        <v/>
      </c>
      <c r="H14" s="8">
        <f>IFERROR(INDEX(Company_Latest!L$2:L$500, SMALL(IF((Company_Latest!$L$2:$L$500="OVERDUE (IDLE)")+(Company_Latest!$L$2:$L$500="WARNING (3-14 Days)"), ROW(Company_Latest!$L$2:$L$500)-1), 5)), "")</f>
        <v/>
      </c>
    </row>
    <row r="15">
      <c r="A15" s="8">
        <f>IF(B15&lt;&gt;"", 6, "")</f>
        <v/>
      </c>
      <c r="B15" s="9">
        <f>IFERROR(INDEX(Company_Latest!C$2:C$500, SMALL(IF((Company_Latest!$L$2:$L$500="OVERDUE (IDLE)")+(Company_Latest!$L$2:$L$500="WARNING (3-14 Days)"), ROW(Company_Latest!$L$2:$L$500)-1), 6)), "")</f>
        <v/>
      </c>
      <c r="C15" s="8">
        <f>IFERROR(INDEX(Company_Latest!D$2:D$500, SMALL(IF((Company_Latest!$L$2:$L$500="OVERDUE (IDLE)")+(Company_Latest!$L$2:$L$500="WARNING (3-14 Days)"), ROW(Company_Latest!$L$2:$L$500)-1), 6)), "")</f>
        <v/>
      </c>
      <c r="D15" s="9">
        <f>IFERROR(INDEX(Company_Latest!E$2:E$500, SMALL(IF((Company_Latest!$L$2:$L$500="OVERDUE (IDLE)")+(Company_Latest!$L$2:$L$500="WARNING (3-14 Days)"), ROW(Company_Latest!$L$2:$L$500)-1), 6)), "")</f>
        <v/>
      </c>
      <c r="E15" s="8">
        <f>IFERROR(INDEX(Company_Latest!G$2:G$500, SMALL(IF((Company_Latest!$L$2:$L$500="OVERDUE (IDLE)")+(Company_Latest!$L$2:$L$500="WARNING (3-14 Days)"), ROW(Company_Latest!$L$2:$L$500)-1), 6)), "")</f>
        <v/>
      </c>
      <c r="F15" s="8">
        <f>IFERROR(INDEX(Company_Latest!H$2:H$500, SMALL(IF((Company_Latest!$L$2:$L$500="OVERDUE (IDLE)")+(Company_Latest!$L$2:$L$500="WARNING (3-14 Days)"), ROW(Company_Latest!$L$2:$L$500)-1), 6)), "")</f>
        <v/>
      </c>
      <c r="G15" s="9">
        <f>IFERROR(INDEX(Company_Latest!K$2:K$500, SMALL(IF((Company_Latest!$L$2:$L$500="OVERDUE (IDLE)")+(Company_Latest!$L$2:$L$500="WARNING (3-14 Days)"), ROW(Company_Latest!$L$2:$L$500)-1), 6)), "")</f>
        <v/>
      </c>
      <c r="H15" s="8">
        <f>IFERROR(INDEX(Company_Latest!L$2:L$500, SMALL(IF((Company_Latest!$L$2:$L$500="OVERDUE (IDLE)")+(Company_Latest!$L$2:$L$500="WARNING (3-14 Days)"), ROW(Company_Latest!$L$2:$L$500)-1), 6)), "")</f>
        <v/>
      </c>
    </row>
    <row r="16">
      <c r="A16" s="8">
        <f>IF(B16&lt;&gt;"", 7, "")</f>
        <v/>
      </c>
      <c r="B16" s="9">
        <f>IFERROR(INDEX(Company_Latest!C$2:C$500, SMALL(IF((Company_Latest!$L$2:$L$500="OVERDUE (IDLE)")+(Company_Latest!$L$2:$L$500="WARNING (3-14 Days)"), ROW(Company_Latest!$L$2:$L$500)-1), 7)), "")</f>
        <v/>
      </c>
      <c r="C16" s="8">
        <f>IFERROR(INDEX(Company_Latest!D$2:D$500, SMALL(IF((Company_Latest!$L$2:$L$500="OVERDUE (IDLE)")+(Company_Latest!$L$2:$L$500="WARNING (3-14 Days)"), ROW(Company_Latest!$L$2:$L$500)-1), 7)), "")</f>
        <v/>
      </c>
      <c r="D16" s="9">
        <f>IFERROR(INDEX(Company_Latest!E$2:E$500, SMALL(IF((Company_Latest!$L$2:$L$500="OVERDUE (IDLE)")+(Company_Latest!$L$2:$L$500="WARNING (3-14 Days)"), ROW(Company_Latest!$L$2:$L$500)-1), 7)), "")</f>
        <v/>
      </c>
      <c r="E16" s="8">
        <f>IFERROR(INDEX(Company_Latest!G$2:G$500, SMALL(IF((Company_Latest!$L$2:$L$500="OVERDUE (IDLE)")+(Company_Latest!$L$2:$L$500="WARNING (3-14 Days)"), ROW(Company_Latest!$L$2:$L$500)-1), 7)), "")</f>
        <v/>
      </c>
      <c r="F16" s="8">
        <f>IFERROR(INDEX(Company_Latest!H$2:H$500, SMALL(IF((Company_Latest!$L$2:$L$500="OVERDUE (IDLE)")+(Company_Latest!$L$2:$L$500="WARNING (3-14 Days)"), ROW(Company_Latest!$L$2:$L$500)-1), 7)), "")</f>
        <v/>
      </c>
      <c r="G16" s="9">
        <f>IFERROR(INDEX(Company_Latest!K$2:K$500, SMALL(IF((Company_Latest!$L$2:$L$500="OVERDUE (IDLE)")+(Company_Latest!$L$2:$L$500="WARNING (3-14 Days)"), ROW(Company_Latest!$L$2:$L$500)-1), 7)), "")</f>
        <v/>
      </c>
      <c r="H16" s="8">
        <f>IFERROR(INDEX(Company_Latest!L$2:L$500, SMALL(IF((Company_Latest!$L$2:$L$500="OVERDUE (IDLE)")+(Company_Latest!$L$2:$L$500="WARNING (3-14 Days)"), ROW(Company_Latest!$L$2:$L$500)-1), 7)), "")</f>
        <v/>
      </c>
    </row>
    <row r="17">
      <c r="A17" s="8">
        <f>IF(B17&lt;&gt;"", 8, "")</f>
        <v/>
      </c>
      <c r="B17" s="9">
        <f>IFERROR(INDEX(Company_Latest!C$2:C$500, SMALL(IF((Company_Latest!$L$2:$L$500="OVERDUE (IDLE)")+(Company_Latest!$L$2:$L$500="WARNING (3-14 Days)"), ROW(Company_Latest!$L$2:$L$500)-1), 8)), "")</f>
        <v/>
      </c>
      <c r="C17" s="8">
        <f>IFERROR(INDEX(Company_Latest!D$2:D$500, SMALL(IF((Company_Latest!$L$2:$L$500="OVERDUE (IDLE)")+(Company_Latest!$L$2:$L$500="WARNING (3-14 Days)"), ROW(Company_Latest!$L$2:$L$500)-1), 8)), "")</f>
        <v/>
      </c>
      <c r="D17" s="9">
        <f>IFERROR(INDEX(Company_Latest!E$2:E$500, SMALL(IF((Company_Latest!$L$2:$L$500="OVERDUE (IDLE)")+(Company_Latest!$L$2:$L$500="WARNING (3-14 Days)"), ROW(Company_Latest!$L$2:$L$500)-1), 8)), "")</f>
        <v/>
      </c>
      <c r="E17" s="8">
        <f>IFERROR(INDEX(Company_Latest!G$2:G$500, SMALL(IF((Company_Latest!$L$2:$L$500="OVERDUE (IDLE)")+(Company_Latest!$L$2:$L$500="WARNING (3-14 Days)"), ROW(Company_Latest!$L$2:$L$500)-1), 8)), "")</f>
        <v/>
      </c>
      <c r="F17" s="8">
        <f>IFERROR(INDEX(Company_Latest!H$2:H$500, SMALL(IF((Company_Latest!$L$2:$L$500="OVERDUE (IDLE)")+(Company_Latest!$L$2:$L$500="WARNING (3-14 Days)"), ROW(Company_Latest!$L$2:$L$500)-1), 8)), "")</f>
        <v/>
      </c>
      <c r="G17" s="9">
        <f>IFERROR(INDEX(Company_Latest!K$2:K$500, SMALL(IF((Company_Latest!$L$2:$L$500="OVERDUE (IDLE)")+(Company_Latest!$L$2:$L$500="WARNING (3-14 Days)"), ROW(Company_Latest!$L$2:$L$500)-1), 8)), "")</f>
        <v/>
      </c>
      <c r="H17" s="8">
        <f>IFERROR(INDEX(Company_Latest!L$2:L$500, SMALL(IF((Company_Latest!$L$2:$L$500="OVERDUE (IDLE)")+(Company_Latest!$L$2:$L$500="WARNING (3-14 Days)"), ROW(Company_Latest!$L$2:$L$500)-1), 8)), "")</f>
        <v/>
      </c>
    </row>
    <row r="18">
      <c r="A18" s="8">
        <f>IF(B18&lt;&gt;"", 9, "")</f>
        <v/>
      </c>
      <c r="B18" s="9">
        <f>IFERROR(INDEX(Company_Latest!C$2:C$500, SMALL(IF((Company_Latest!$L$2:$L$500="OVERDUE (IDLE)")+(Company_Latest!$L$2:$L$500="WARNING (3-14 Days)"), ROW(Company_Latest!$L$2:$L$500)-1), 9)), "")</f>
        <v/>
      </c>
      <c r="C18" s="8">
        <f>IFERROR(INDEX(Company_Latest!D$2:D$500, SMALL(IF((Company_Latest!$L$2:$L$500="OVERDUE (IDLE)")+(Company_Latest!$L$2:$L$500="WARNING (3-14 Days)"), ROW(Company_Latest!$L$2:$L$500)-1), 9)), "")</f>
        <v/>
      </c>
      <c r="D18" s="9">
        <f>IFERROR(INDEX(Company_Latest!E$2:E$500, SMALL(IF((Company_Latest!$L$2:$L$500="OVERDUE (IDLE)")+(Company_Latest!$L$2:$L$500="WARNING (3-14 Days)"), ROW(Company_Latest!$L$2:$L$500)-1), 9)), "")</f>
        <v/>
      </c>
      <c r="E18" s="8">
        <f>IFERROR(INDEX(Company_Latest!G$2:G$500, SMALL(IF((Company_Latest!$L$2:$L$500="OVERDUE (IDLE)")+(Company_Latest!$L$2:$L$500="WARNING (3-14 Days)"), ROW(Company_Latest!$L$2:$L$500)-1), 9)), "")</f>
        <v/>
      </c>
      <c r="F18" s="8">
        <f>IFERROR(INDEX(Company_Latest!H$2:H$500, SMALL(IF((Company_Latest!$L$2:$L$500="OVERDUE (IDLE)")+(Company_Latest!$L$2:$L$500="WARNING (3-14 Days)"), ROW(Company_Latest!$L$2:$L$500)-1), 9)), "")</f>
        <v/>
      </c>
      <c r="G18" s="9">
        <f>IFERROR(INDEX(Company_Latest!K$2:K$500, SMALL(IF((Company_Latest!$L$2:$L$500="OVERDUE (IDLE)")+(Company_Latest!$L$2:$L$500="WARNING (3-14 Days)"), ROW(Company_Latest!$L$2:$L$500)-1), 9)), "")</f>
        <v/>
      </c>
      <c r="H18" s="8">
        <f>IFERROR(INDEX(Company_Latest!L$2:L$500, SMALL(IF((Company_Latest!$L$2:$L$500="OVERDUE (IDLE)")+(Company_Latest!$L$2:$L$500="WARNING (3-14 Days)"), ROW(Company_Latest!$L$2:$L$500)-1), 9)), "")</f>
        <v/>
      </c>
    </row>
    <row r="19">
      <c r="A19" s="8">
        <f>IF(B19&lt;&gt;"", 10, "")</f>
        <v/>
      </c>
      <c r="B19" s="9">
        <f>IFERROR(INDEX(Company_Latest!C$2:C$500, SMALL(IF((Company_Latest!$L$2:$L$500="OVERDUE (IDLE)")+(Company_Latest!$L$2:$L$500="WARNING (3-14 Days)"), ROW(Company_Latest!$L$2:$L$500)-1), 10)), "")</f>
        <v/>
      </c>
      <c r="C19" s="8">
        <f>IFERROR(INDEX(Company_Latest!D$2:D$500, SMALL(IF((Company_Latest!$L$2:$L$500="OVERDUE (IDLE)")+(Company_Latest!$L$2:$L$500="WARNING (3-14 Days)"), ROW(Company_Latest!$L$2:$L$500)-1), 10)), "")</f>
        <v/>
      </c>
      <c r="D19" s="9">
        <f>IFERROR(INDEX(Company_Latest!E$2:E$500, SMALL(IF((Company_Latest!$L$2:$L$500="OVERDUE (IDLE)")+(Company_Latest!$L$2:$L$500="WARNING (3-14 Days)"), ROW(Company_Latest!$L$2:$L$500)-1), 10)), "")</f>
        <v/>
      </c>
      <c r="E19" s="8">
        <f>IFERROR(INDEX(Company_Latest!G$2:G$500, SMALL(IF((Company_Latest!$L$2:$L$500="OVERDUE (IDLE)")+(Company_Latest!$L$2:$L$500="WARNING (3-14 Days)"), ROW(Company_Latest!$L$2:$L$500)-1), 10)), "")</f>
        <v/>
      </c>
      <c r="F19" s="8">
        <f>IFERROR(INDEX(Company_Latest!H$2:H$500, SMALL(IF((Company_Latest!$L$2:$L$500="OVERDUE (IDLE)")+(Company_Latest!$L$2:$L$500="WARNING (3-14 Days)"), ROW(Company_Latest!$L$2:$L$500)-1), 10)), "")</f>
        <v/>
      </c>
      <c r="G19" s="9">
        <f>IFERROR(INDEX(Company_Latest!K$2:K$500, SMALL(IF((Company_Latest!$L$2:$L$500="OVERDUE (IDLE)")+(Company_Latest!$L$2:$L$500="WARNING (3-14 Days)"), ROW(Company_Latest!$L$2:$L$500)-1), 10)), "")</f>
        <v/>
      </c>
      <c r="H19" s="8">
        <f>IFERROR(INDEX(Company_Latest!L$2:L$500, SMALL(IF((Company_Latest!$L$2:$L$500="OVERDUE (IDLE)")+(Company_Latest!$L$2:$L$500="WARNING (3-14 Days)"), ROW(Company_Latest!$L$2:$L$500)-1), 10)), "")</f>
        <v/>
      </c>
    </row>
    <row r="20">
      <c r="A20" s="8">
        <f>IF(B20&lt;&gt;"", 11, "")</f>
        <v/>
      </c>
      <c r="B20" s="9">
        <f>IFERROR(INDEX(Company_Latest!C$2:C$500, SMALL(IF((Company_Latest!$L$2:$L$500="OVERDUE (IDLE)")+(Company_Latest!$L$2:$L$500="WARNING (3-14 Days)"), ROW(Company_Latest!$L$2:$L$500)-1), 11)), "")</f>
        <v/>
      </c>
      <c r="C20" s="8">
        <f>IFERROR(INDEX(Company_Latest!D$2:D$500, SMALL(IF((Company_Latest!$L$2:$L$500="OVERDUE (IDLE)")+(Company_Latest!$L$2:$L$500="WARNING (3-14 Days)"), ROW(Company_Latest!$L$2:$L$500)-1), 11)), "")</f>
        <v/>
      </c>
      <c r="D20" s="9">
        <f>IFERROR(INDEX(Company_Latest!E$2:E$500, SMALL(IF((Company_Latest!$L$2:$L$500="OVERDUE (IDLE)")+(Company_Latest!$L$2:$L$500="WARNING (3-14 Days)"), ROW(Company_Latest!$L$2:$L$500)-1), 11)), "")</f>
        <v/>
      </c>
      <c r="E20" s="8">
        <f>IFERROR(INDEX(Company_Latest!G$2:G$500, SMALL(IF((Company_Latest!$L$2:$L$500="OVERDUE (IDLE)")+(Company_Latest!$L$2:$L$500="WARNING (3-14 Days)"), ROW(Company_Latest!$L$2:$L$500)-1), 11)), "")</f>
        <v/>
      </c>
      <c r="F20" s="8">
        <f>IFERROR(INDEX(Company_Latest!H$2:H$500, SMALL(IF((Company_Latest!$L$2:$L$500="OVERDUE (IDLE)")+(Company_Latest!$L$2:$L$500="WARNING (3-14 Days)"), ROW(Company_Latest!$L$2:$L$500)-1), 11)), "")</f>
        <v/>
      </c>
      <c r="G20" s="9">
        <f>IFERROR(INDEX(Company_Latest!K$2:K$500, SMALL(IF((Company_Latest!$L$2:$L$500="OVERDUE (IDLE)")+(Company_Latest!$L$2:$L$500="WARNING (3-14 Days)"), ROW(Company_Latest!$L$2:$L$500)-1), 11)), "")</f>
        <v/>
      </c>
      <c r="H20" s="8">
        <f>IFERROR(INDEX(Company_Latest!L$2:L$500, SMALL(IF((Company_Latest!$L$2:$L$500="OVERDUE (IDLE)")+(Company_Latest!$L$2:$L$500="WARNING (3-14 Days)"), ROW(Company_Latest!$L$2:$L$500)-1), 11)), "")</f>
        <v/>
      </c>
    </row>
    <row r="21">
      <c r="A21" s="8">
        <f>IF(B21&lt;&gt;"", 12, "")</f>
        <v/>
      </c>
      <c r="B21" s="9">
        <f>IFERROR(INDEX(Company_Latest!C$2:C$500, SMALL(IF((Company_Latest!$L$2:$L$500="OVERDUE (IDLE)")+(Company_Latest!$L$2:$L$500="WARNING (3-14 Days)"), ROW(Company_Latest!$L$2:$L$500)-1), 12)), "")</f>
        <v/>
      </c>
      <c r="C21" s="8">
        <f>IFERROR(INDEX(Company_Latest!D$2:D$500, SMALL(IF((Company_Latest!$L$2:$L$500="OVERDUE (IDLE)")+(Company_Latest!$L$2:$L$500="WARNING (3-14 Days)"), ROW(Company_Latest!$L$2:$L$500)-1), 12)), "")</f>
        <v/>
      </c>
      <c r="D21" s="9">
        <f>IFERROR(INDEX(Company_Latest!E$2:E$500, SMALL(IF((Company_Latest!$L$2:$L$500="OVERDUE (IDLE)")+(Company_Latest!$L$2:$L$500="WARNING (3-14 Days)"), ROW(Company_Latest!$L$2:$L$500)-1), 12)), "")</f>
        <v/>
      </c>
      <c r="E21" s="8">
        <f>IFERROR(INDEX(Company_Latest!G$2:G$500, SMALL(IF((Company_Latest!$L$2:$L$500="OVERDUE (IDLE)")+(Company_Latest!$L$2:$L$500="WARNING (3-14 Days)"), ROW(Company_Latest!$L$2:$L$500)-1), 12)), "")</f>
        <v/>
      </c>
      <c r="F21" s="8">
        <f>IFERROR(INDEX(Company_Latest!H$2:H$500, SMALL(IF((Company_Latest!$L$2:$L$500="OVERDUE (IDLE)")+(Company_Latest!$L$2:$L$500="WARNING (3-14 Days)"), ROW(Company_Latest!$L$2:$L$500)-1), 12)), "")</f>
        <v/>
      </c>
      <c r="G21" s="9">
        <f>IFERROR(INDEX(Company_Latest!K$2:K$500, SMALL(IF((Company_Latest!$L$2:$L$500="OVERDUE (IDLE)")+(Company_Latest!$L$2:$L$500="WARNING (3-14 Days)"), ROW(Company_Latest!$L$2:$L$500)-1), 12)), "")</f>
        <v/>
      </c>
      <c r="H21" s="8">
        <f>IFERROR(INDEX(Company_Latest!L$2:L$500, SMALL(IF((Company_Latest!$L$2:$L$500="OVERDUE (IDLE)")+(Company_Latest!$L$2:$L$500="WARNING (3-14 Days)"), ROW(Company_Latest!$L$2:$L$500)-1), 12)), "")</f>
        <v/>
      </c>
    </row>
    <row r="22">
      <c r="A22" s="8">
        <f>IF(B22&lt;&gt;"", 13, "")</f>
        <v/>
      </c>
      <c r="B22" s="9">
        <f>IFERROR(INDEX(Company_Latest!C$2:C$500, SMALL(IF((Company_Latest!$L$2:$L$500="OVERDUE (IDLE)")+(Company_Latest!$L$2:$L$500="WARNING (3-14 Days)"), ROW(Company_Latest!$L$2:$L$500)-1), 13)), "")</f>
        <v/>
      </c>
      <c r="C22" s="8">
        <f>IFERROR(INDEX(Company_Latest!D$2:D$500, SMALL(IF((Company_Latest!$L$2:$L$500="OVERDUE (IDLE)")+(Company_Latest!$L$2:$L$500="WARNING (3-14 Days)"), ROW(Company_Latest!$L$2:$L$500)-1), 13)), "")</f>
        <v/>
      </c>
      <c r="D22" s="9">
        <f>IFERROR(INDEX(Company_Latest!E$2:E$500, SMALL(IF((Company_Latest!$L$2:$L$500="OVERDUE (IDLE)")+(Company_Latest!$L$2:$L$500="WARNING (3-14 Days)"), ROW(Company_Latest!$L$2:$L$500)-1), 13)), "")</f>
        <v/>
      </c>
      <c r="E22" s="8">
        <f>IFERROR(INDEX(Company_Latest!G$2:G$500, SMALL(IF((Company_Latest!$L$2:$L$500="OVERDUE (IDLE)")+(Company_Latest!$L$2:$L$500="WARNING (3-14 Days)"), ROW(Company_Latest!$L$2:$L$500)-1), 13)), "")</f>
        <v/>
      </c>
      <c r="F22" s="8">
        <f>IFERROR(INDEX(Company_Latest!H$2:H$500, SMALL(IF((Company_Latest!$L$2:$L$500="OVERDUE (IDLE)")+(Company_Latest!$L$2:$L$500="WARNING (3-14 Days)"), ROW(Company_Latest!$L$2:$L$500)-1), 13)), "")</f>
        <v/>
      </c>
      <c r="G22" s="9">
        <f>IFERROR(INDEX(Company_Latest!K$2:K$500, SMALL(IF((Company_Latest!$L$2:$L$500="OVERDUE (IDLE)")+(Company_Latest!$L$2:$L$500="WARNING (3-14 Days)"), ROW(Company_Latest!$L$2:$L$500)-1), 13)), "")</f>
        <v/>
      </c>
      <c r="H22" s="8">
        <f>IFERROR(INDEX(Company_Latest!L$2:L$500, SMALL(IF((Company_Latest!$L$2:$L$500="OVERDUE (IDLE)")+(Company_Latest!$L$2:$L$500="WARNING (3-14 Days)"), ROW(Company_Latest!$L$2:$L$500)-1), 13)), "")</f>
        <v/>
      </c>
    </row>
    <row r="23">
      <c r="A23" s="8">
        <f>IF(B23&lt;&gt;"", 14, "")</f>
        <v/>
      </c>
      <c r="B23" s="9">
        <f>IFERROR(INDEX(Company_Latest!C$2:C$500, SMALL(IF((Company_Latest!$L$2:$L$500="OVERDUE (IDLE)")+(Company_Latest!$L$2:$L$500="WARNING (3-14 Days)"), ROW(Company_Latest!$L$2:$L$500)-1), 14)), "")</f>
        <v/>
      </c>
      <c r="C23" s="8">
        <f>IFERROR(INDEX(Company_Latest!D$2:D$500, SMALL(IF((Company_Latest!$L$2:$L$500="OVERDUE (IDLE)")+(Company_Latest!$L$2:$L$500="WARNING (3-14 Days)"), ROW(Company_Latest!$L$2:$L$500)-1), 14)), "")</f>
        <v/>
      </c>
      <c r="D23" s="9">
        <f>IFERROR(INDEX(Company_Latest!E$2:E$500, SMALL(IF((Company_Latest!$L$2:$L$500="OVERDUE (IDLE)")+(Company_Latest!$L$2:$L$500="WARNING (3-14 Days)"), ROW(Company_Latest!$L$2:$L$500)-1), 14)), "")</f>
        <v/>
      </c>
      <c r="E23" s="8">
        <f>IFERROR(INDEX(Company_Latest!G$2:G$500, SMALL(IF((Company_Latest!$L$2:$L$500="OVERDUE (IDLE)")+(Company_Latest!$L$2:$L$500="WARNING (3-14 Days)"), ROW(Company_Latest!$L$2:$L$500)-1), 14)), "")</f>
        <v/>
      </c>
      <c r="F23" s="8">
        <f>IFERROR(INDEX(Company_Latest!H$2:H$500, SMALL(IF((Company_Latest!$L$2:$L$500="OVERDUE (IDLE)")+(Company_Latest!$L$2:$L$500="WARNING (3-14 Days)"), ROW(Company_Latest!$L$2:$L$500)-1), 14)), "")</f>
        <v/>
      </c>
      <c r="G23" s="9">
        <f>IFERROR(INDEX(Company_Latest!K$2:K$500, SMALL(IF((Company_Latest!$L$2:$L$500="OVERDUE (IDLE)")+(Company_Latest!$L$2:$L$500="WARNING (3-14 Days)"), ROW(Company_Latest!$L$2:$L$500)-1), 14)), "")</f>
        <v/>
      </c>
      <c r="H23" s="8">
        <f>IFERROR(INDEX(Company_Latest!L$2:L$500, SMALL(IF((Company_Latest!$L$2:$L$500="OVERDUE (IDLE)")+(Company_Latest!$L$2:$L$500="WARNING (3-14 Days)"), ROW(Company_Latest!$L$2:$L$500)-1), 14)), "")</f>
        <v/>
      </c>
    </row>
    <row r="24">
      <c r="A24" s="8">
        <f>IF(B24&lt;&gt;"", 15, "")</f>
        <v/>
      </c>
      <c r="B24" s="9">
        <f>IFERROR(INDEX(Company_Latest!C$2:C$500, SMALL(IF((Company_Latest!$L$2:$L$500="OVERDUE (IDLE)")+(Company_Latest!$L$2:$L$500="WARNING (3-14 Days)"), ROW(Company_Latest!$L$2:$L$500)-1), 15)), "")</f>
        <v/>
      </c>
      <c r="C24" s="8">
        <f>IFERROR(INDEX(Company_Latest!D$2:D$500, SMALL(IF((Company_Latest!$L$2:$L$500="OVERDUE (IDLE)")+(Company_Latest!$L$2:$L$500="WARNING (3-14 Days)"), ROW(Company_Latest!$L$2:$L$500)-1), 15)), "")</f>
        <v/>
      </c>
      <c r="D24" s="9">
        <f>IFERROR(INDEX(Company_Latest!E$2:E$500, SMALL(IF((Company_Latest!$L$2:$L$500="OVERDUE (IDLE)")+(Company_Latest!$L$2:$L$500="WARNING (3-14 Days)"), ROW(Company_Latest!$L$2:$L$500)-1), 15)), "")</f>
        <v/>
      </c>
      <c r="E24" s="8">
        <f>IFERROR(INDEX(Company_Latest!G$2:G$500, SMALL(IF((Company_Latest!$L$2:$L$500="OVERDUE (IDLE)")+(Company_Latest!$L$2:$L$500="WARNING (3-14 Days)"), ROW(Company_Latest!$L$2:$L$500)-1), 15)), "")</f>
        <v/>
      </c>
      <c r="F24" s="8">
        <f>IFERROR(INDEX(Company_Latest!H$2:H$500, SMALL(IF((Company_Latest!$L$2:$L$500="OVERDUE (IDLE)")+(Company_Latest!$L$2:$L$500="WARNING (3-14 Days)"), ROW(Company_Latest!$L$2:$L$500)-1), 15)), "")</f>
        <v/>
      </c>
      <c r="G24" s="9">
        <f>IFERROR(INDEX(Company_Latest!K$2:K$500, SMALL(IF((Company_Latest!$L$2:$L$500="OVERDUE (IDLE)")+(Company_Latest!$L$2:$L$500="WARNING (3-14 Days)"), ROW(Company_Latest!$L$2:$L$500)-1), 15)), "")</f>
        <v/>
      </c>
      <c r="H24" s="8">
        <f>IFERROR(INDEX(Company_Latest!L$2:L$500, SMALL(IF((Company_Latest!$L$2:$L$500="OVERDUE (IDLE)")+(Company_Latest!$L$2:$L$500="WARNING (3-14 Days)"), ROW(Company_Latest!$L$2:$L$500)-1), 15)), "")</f>
        <v/>
      </c>
    </row>
    <row r="25">
      <c r="A25" s="8">
        <f>IF(B25&lt;&gt;"", 16, "")</f>
        <v/>
      </c>
      <c r="B25" s="9">
        <f>IFERROR(INDEX(Company_Latest!C$2:C$500, SMALL(IF((Company_Latest!$L$2:$L$500="OVERDUE (IDLE)")+(Company_Latest!$L$2:$L$500="WARNING (3-14 Days)"), ROW(Company_Latest!$L$2:$L$500)-1), 16)), "")</f>
        <v/>
      </c>
      <c r="C25" s="8">
        <f>IFERROR(INDEX(Company_Latest!D$2:D$500, SMALL(IF((Company_Latest!$L$2:$L$500="OVERDUE (IDLE)")+(Company_Latest!$L$2:$L$500="WARNING (3-14 Days)"), ROW(Company_Latest!$L$2:$L$500)-1), 16)), "")</f>
        <v/>
      </c>
      <c r="D25" s="9">
        <f>IFERROR(INDEX(Company_Latest!E$2:E$500, SMALL(IF((Company_Latest!$L$2:$L$500="OVERDUE (IDLE)")+(Company_Latest!$L$2:$L$500="WARNING (3-14 Days)"), ROW(Company_Latest!$L$2:$L$500)-1), 16)), "")</f>
        <v/>
      </c>
      <c r="E25" s="8">
        <f>IFERROR(INDEX(Company_Latest!G$2:G$500, SMALL(IF((Company_Latest!$L$2:$L$500="OVERDUE (IDLE)")+(Company_Latest!$L$2:$L$500="WARNING (3-14 Days)"), ROW(Company_Latest!$L$2:$L$500)-1), 16)), "")</f>
        <v/>
      </c>
      <c r="F25" s="8">
        <f>IFERROR(INDEX(Company_Latest!H$2:H$500, SMALL(IF((Company_Latest!$L$2:$L$500="OVERDUE (IDLE)")+(Company_Latest!$L$2:$L$500="WARNING (3-14 Days)"), ROW(Company_Latest!$L$2:$L$500)-1), 16)), "")</f>
        <v/>
      </c>
      <c r="G25" s="9">
        <f>IFERROR(INDEX(Company_Latest!K$2:K$500, SMALL(IF((Company_Latest!$L$2:$L$500="OVERDUE (IDLE)")+(Company_Latest!$L$2:$L$500="WARNING (3-14 Days)"), ROW(Company_Latest!$L$2:$L$500)-1), 16)), "")</f>
        <v/>
      </c>
      <c r="H25" s="8">
        <f>IFERROR(INDEX(Company_Latest!L$2:L$500, SMALL(IF((Company_Latest!$L$2:$L$500="OVERDUE (IDLE)")+(Company_Latest!$L$2:$L$500="WARNING (3-14 Days)"), ROW(Company_Latest!$L$2:$L$500)-1), 16)), "")</f>
        <v/>
      </c>
    </row>
    <row r="26">
      <c r="A26" s="8">
        <f>IF(B26&lt;&gt;"", 17, "")</f>
        <v/>
      </c>
      <c r="B26" s="9">
        <f>IFERROR(INDEX(Company_Latest!C$2:C$500, SMALL(IF((Company_Latest!$L$2:$L$500="OVERDUE (IDLE)")+(Company_Latest!$L$2:$L$500="WARNING (3-14 Days)"), ROW(Company_Latest!$L$2:$L$500)-1), 17)), "")</f>
        <v/>
      </c>
      <c r="C26" s="8">
        <f>IFERROR(INDEX(Company_Latest!D$2:D$500, SMALL(IF((Company_Latest!$L$2:$L$500="OVERDUE (IDLE)")+(Company_Latest!$L$2:$L$500="WARNING (3-14 Days)"), ROW(Company_Latest!$L$2:$L$500)-1), 17)), "")</f>
        <v/>
      </c>
      <c r="D26" s="9">
        <f>IFERROR(INDEX(Company_Latest!E$2:E$500, SMALL(IF((Company_Latest!$L$2:$L$500="OVERDUE (IDLE)")+(Company_Latest!$L$2:$L$500="WARNING (3-14 Days)"), ROW(Company_Latest!$L$2:$L$500)-1), 17)), "")</f>
        <v/>
      </c>
      <c r="E26" s="8">
        <f>IFERROR(INDEX(Company_Latest!G$2:G$500, SMALL(IF((Company_Latest!$L$2:$L$500="OVERDUE (IDLE)")+(Company_Latest!$L$2:$L$500="WARNING (3-14 Days)"), ROW(Company_Latest!$L$2:$L$500)-1), 17)), "")</f>
        <v/>
      </c>
      <c r="F26" s="8">
        <f>IFERROR(INDEX(Company_Latest!H$2:H$500, SMALL(IF((Company_Latest!$L$2:$L$500="OVERDUE (IDLE)")+(Company_Latest!$L$2:$L$500="WARNING (3-14 Days)"), ROW(Company_Latest!$L$2:$L$500)-1), 17)), "")</f>
        <v/>
      </c>
      <c r="G26" s="9">
        <f>IFERROR(INDEX(Company_Latest!K$2:K$500, SMALL(IF((Company_Latest!$L$2:$L$500="OVERDUE (IDLE)")+(Company_Latest!$L$2:$L$500="WARNING (3-14 Days)"), ROW(Company_Latest!$L$2:$L$500)-1), 17)), "")</f>
        <v/>
      </c>
      <c r="H26" s="8">
        <f>IFERROR(INDEX(Company_Latest!L$2:L$500, SMALL(IF((Company_Latest!$L$2:$L$500="OVERDUE (IDLE)")+(Company_Latest!$L$2:$L$500="WARNING (3-14 Days)"), ROW(Company_Latest!$L$2:$L$500)-1), 17)), "")</f>
        <v/>
      </c>
    </row>
    <row r="27">
      <c r="A27" s="8">
        <f>IF(B27&lt;&gt;"", 18, "")</f>
        <v/>
      </c>
      <c r="B27" s="9">
        <f>IFERROR(INDEX(Company_Latest!C$2:C$500, SMALL(IF((Company_Latest!$L$2:$L$500="OVERDUE (IDLE)")+(Company_Latest!$L$2:$L$500="WARNING (3-14 Days)"), ROW(Company_Latest!$L$2:$L$500)-1), 18)), "")</f>
        <v/>
      </c>
      <c r="C27" s="8">
        <f>IFERROR(INDEX(Company_Latest!D$2:D$500, SMALL(IF((Company_Latest!$L$2:$L$500="OVERDUE (IDLE)")+(Company_Latest!$L$2:$L$500="WARNING (3-14 Days)"), ROW(Company_Latest!$L$2:$L$500)-1), 18)), "")</f>
        <v/>
      </c>
      <c r="D27" s="9">
        <f>IFERROR(INDEX(Company_Latest!E$2:E$500, SMALL(IF((Company_Latest!$L$2:$L$500="OVERDUE (IDLE)")+(Company_Latest!$L$2:$L$500="WARNING (3-14 Days)"), ROW(Company_Latest!$L$2:$L$500)-1), 18)), "")</f>
        <v/>
      </c>
      <c r="E27" s="8">
        <f>IFERROR(INDEX(Company_Latest!G$2:G$500, SMALL(IF((Company_Latest!$L$2:$L$500="OVERDUE (IDLE)")+(Company_Latest!$L$2:$L$500="WARNING (3-14 Days)"), ROW(Company_Latest!$L$2:$L$500)-1), 18)), "")</f>
        <v/>
      </c>
      <c r="F27" s="8">
        <f>IFERROR(INDEX(Company_Latest!H$2:H$500, SMALL(IF((Company_Latest!$L$2:$L$500="OVERDUE (IDLE)")+(Company_Latest!$L$2:$L$500="WARNING (3-14 Days)"), ROW(Company_Latest!$L$2:$L$500)-1), 18)), "")</f>
        <v/>
      </c>
      <c r="G27" s="9">
        <f>IFERROR(INDEX(Company_Latest!K$2:K$500, SMALL(IF((Company_Latest!$L$2:$L$500="OVERDUE (IDLE)")+(Company_Latest!$L$2:$L$500="WARNING (3-14 Days)"), ROW(Company_Latest!$L$2:$L$500)-1), 18)), "")</f>
        <v/>
      </c>
      <c r="H27" s="8">
        <f>IFERROR(INDEX(Company_Latest!L$2:L$500, SMALL(IF((Company_Latest!$L$2:$L$500="OVERDUE (IDLE)")+(Company_Latest!$L$2:$L$500="WARNING (3-14 Days)"), ROW(Company_Latest!$L$2:$L$500)-1), 18)), "")</f>
        <v/>
      </c>
    </row>
    <row r="28">
      <c r="A28" s="8">
        <f>IF(B28&lt;&gt;"", 19, "")</f>
        <v/>
      </c>
      <c r="B28" s="9">
        <f>IFERROR(INDEX(Company_Latest!C$2:C$500, SMALL(IF((Company_Latest!$L$2:$L$500="OVERDUE (IDLE)")+(Company_Latest!$L$2:$L$500="WARNING (3-14 Days)"), ROW(Company_Latest!$L$2:$L$500)-1), 19)), "")</f>
        <v/>
      </c>
      <c r="C28" s="8">
        <f>IFERROR(INDEX(Company_Latest!D$2:D$500, SMALL(IF((Company_Latest!$L$2:$L$500="OVERDUE (IDLE)")+(Company_Latest!$L$2:$L$500="WARNING (3-14 Days)"), ROW(Company_Latest!$L$2:$L$500)-1), 19)), "")</f>
        <v/>
      </c>
      <c r="D28" s="9">
        <f>IFERROR(INDEX(Company_Latest!E$2:E$500, SMALL(IF((Company_Latest!$L$2:$L$500="OVERDUE (IDLE)")+(Company_Latest!$L$2:$L$500="WARNING (3-14 Days)"), ROW(Company_Latest!$L$2:$L$500)-1), 19)), "")</f>
        <v/>
      </c>
      <c r="E28" s="8">
        <f>IFERROR(INDEX(Company_Latest!G$2:G$500, SMALL(IF((Company_Latest!$L$2:$L$500="OVERDUE (IDLE)")+(Company_Latest!$L$2:$L$500="WARNING (3-14 Days)"), ROW(Company_Latest!$L$2:$L$500)-1), 19)), "")</f>
        <v/>
      </c>
      <c r="F28" s="8">
        <f>IFERROR(INDEX(Company_Latest!H$2:H$500, SMALL(IF((Company_Latest!$L$2:$L$500="OVERDUE (IDLE)")+(Company_Latest!$L$2:$L$500="WARNING (3-14 Days)"), ROW(Company_Latest!$L$2:$L$500)-1), 19)), "")</f>
        <v/>
      </c>
      <c r="G28" s="9">
        <f>IFERROR(INDEX(Company_Latest!K$2:K$500, SMALL(IF((Company_Latest!$L$2:$L$500="OVERDUE (IDLE)")+(Company_Latest!$L$2:$L$500="WARNING (3-14 Days)"), ROW(Company_Latest!$L$2:$L$500)-1), 19)), "")</f>
        <v/>
      </c>
      <c r="H28" s="8">
        <f>IFERROR(INDEX(Company_Latest!L$2:L$500, SMALL(IF((Company_Latest!$L$2:$L$500="OVERDUE (IDLE)")+(Company_Latest!$L$2:$L$500="WARNING (3-14 Days)"), ROW(Company_Latest!$L$2:$L$500)-1), 19)), "")</f>
        <v/>
      </c>
    </row>
    <row r="29">
      <c r="A29" s="8">
        <f>IF(B29&lt;&gt;"", 20, "")</f>
        <v/>
      </c>
      <c r="B29" s="9">
        <f>IFERROR(INDEX(Company_Latest!C$2:C$500, SMALL(IF((Company_Latest!$L$2:$L$500="OVERDUE (IDLE)")+(Company_Latest!$L$2:$L$500="WARNING (3-14 Days)"), ROW(Company_Latest!$L$2:$L$500)-1), 20)), "")</f>
        <v/>
      </c>
      <c r="C29" s="8">
        <f>IFERROR(INDEX(Company_Latest!D$2:D$500, SMALL(IF((Company_Latest!$L$2:$L$500="OVERDUE (IDLE)")+(Company_Latest!$L$2:$L$500="WARNING (3-14 Days)"), ROW(Company_Latest!$L$2:$L$500)-1), 20)), "")</f>
        <v/>
      </c>
      <c r="D29" s="9">
        <f>IFERROR(INDEX(Company_Latest!E$2:E$500, SMALL(IF((Company_Latest!$L$2:$L$500="OVERDUE (IDLE)")+(Company_Latest!$L$2:$L$500="WARNING (3-14 Days)"), ROW(Company_Latest!$L$2:$L$500)-1), 20)), "")</f>
        <v/>
      </c>
      <c r="E29" s="8">
        <f>IFERROR(INDEX(Company_Latest!G$2:G$500, SMALL(IF((Company_Latest!$L$2:$L$500="OVERDUE (IDLE)")+(Company_Latest!$L$2:$L$500="WARNING (3-14 Days)"), ROW(Company_Latest!$L$2:$L$500)-1), 20)), "")</f>
        <v/>
      </c>
      <c r="F29" s="8">
        <f>IFERROR(INDEX(Company_Latest!H$2:H$500, SMALL(IF((Company_Latest!$L$2:$L$500="OVERDUE (IDLE)")+(Company_Latest!$L$2:$L$500="WARNING (3-14 Days)"), ROW(Company_Latest!$L$2:$L$500)-1), 20)), "")</f>
        <v/>
      </c>
      <c r="G29" s="9">
        <f>IFERROR(INDEX(Company_Latest!K$2:K$500, SMALL(IF((Company_Latest!$L$2:$L$500="OVERDUE (IDLE)")+(Company_Latest!$L$2:$L$500="WARNING (3-14 Days)"), ROW(Company_Latest!$L$2:$L$500)-1), 20)), "")</f>
        <v/>
      </c>
      <c r="H29" s="8">
        <f>IFERROR(INDEX(Company_Latest!L$2:L$500, SMALL(IF((Company_Latest!$L$2:$L$500="OVERDUE (IDLE)")+(Company_Latest!$L$2:$L$500="WARNING (3-14 Days)"), ROW(Company_Latest!$L$2:$L$500)-1), 20)), "")</f>
        <v/>
      </c>
    </row>
    <row r="30">
      <c r="A30" s="8">
        <f>IF(B30&lt;&gt;"", 21, "")</f>
        <v/>
      </c>
      <c r="B30" s="9">
        <f>IFERROR(INDEX(Company_Latest!C$2:C$500, SMALL(IF((Company_Latest!$L$2:$L$500="OVERDUE (IDLE)")+(Company_Latest!$L$2:$L$500="WARNING (3-14 Days)"), ROW(Company_Latest!$L$2:$L$500)-1), 21)), "")</f>
        <v/>
      </c>
      <c r="C30" s="8">
        <f>IFERROR(INDEX(Company_Latest!D$2:D$500, SMALL(IF((Company_Latest!$L$2:$L$500="OVERDUE (IDLE)")+(Company_Latest!$L$2:$L$500="WARNING (3-14 Days)"), ROW(Company_Latest!$L$2:$L$500)-1), 21)), "")</f>
        <v/>
      </c>
      <c r="D30" s="9">
        <f>IFERROR(INDEX(Company_Latest!E$2:E$500, SMALL(IF((Company_Latest!$L$2:$L$500="OVERDUE (IDLE)")+(Company_Latest!$L$2:$L$500="WARNING (3-14 Days)"), ROW(Company_Latest!$L$2:$L$500)-1), 21)), "")</f>
        <v/>
      </c>
      <c r="E30" s="8">
        <f>IFERROR(INDEX(Company_Latest!G$2:G$500, SMALL(IF((Company_Latest!$L$2:$L$500="OVERDUE (IDLE)")+(Company_Latest!$L$2:$L$500="WARNING (3-14 Days)"), ROW(Company_Latest!$L$2:$L$500)-1), 21)), "")</f>
        <v/>
      </c>
      <c r="F30" s="8">
        <f>IFERROR(INDEX(Company_Latest!H$2:H$500, SMALL(IF((Company_Latest!$L$2:$L$500="OVERDUE (IDLE)")+(Company_Latest!$L$2:$L$500="WARNING (3-14 Days)"), ROW(Company_Latest!$L$2:$L$500)-1), 21)), "")</f>
        <v/>
      </c>
      <c r="G30" s="9">
        <f>IFERROR(INDEX(Company_Latest!K$2:K$500, SMALL(IF((Company_Latest!$L$2:$L$500="OVERDUE (IDLE)")+(Company_Latest!$L$2:$L$500="WARNING (3-14 Days)"), ROW(Company_Latest!$L$2:$L$500)-1), 21)), "")</f>
        <v/>
      </c>
      <c r="H30" s="8">
        <f>IFERROR(INDEX(Company_Latest!L$2:L$500, SMALL(IF((Company_Latest!$L$2:$L$500="OVERDUE (IDLE)")+(Company_Latest!$L$2:$L$500="WARNING (3-14 Days)"), ROW(Company_Latest!$L$2:$L$500)-1), 21)), "")</f>
        <v/>
      </c>
    </row>
    <row r="31">
      <c r="A31" s="8">
        <f>IF(B31&lt;&gt;"", 22, "")</f>
        <v/>
      </c>
      <c r="B31" s="9">
        <f>IFERROR(INDEX(Company_Latest!C$2:C$500, SMALL(IF((Company_Latest!$L$2:$L$500="OVERDUE (IDLE)")+(Company_Latest!$L$2:$L$500="WARNING (3-14 Days)"), ROW(Company_Latest!$L$2:$L$500)-1), 22)), "")</f>
        <v/>
      </c>
      <c r="C31" s="8">
        <f>IFERROR(INDEX(Company_Latest!D$2:D$500, SMALL(IF((Company_Latest!$L$2:$L$500="OVERDUE (IDLE)")+(Company_Latest!$L$2:$L$500="WARNING (3-14 Days)"), ROW(Company_Latest!$L$2:$L$500)-1), 22)), "")</f>
        <v/>
      </c>
      <c r="D31" s="9">
        <f>IFERROR(INDEX(Company_Latest!E$2:E$500, SMALL(IF((Company_Latest!$L$2:$L$500="OVERDUE (IDLE)")+(Company_Latest!$L$2:$L$500="WARNING (3-14 Days)"), ROW(Company_Latest!$L$2:$L$500)-1), 22)), "")</f>
        <v/>
      </c>
      <c r="E31" s="8">
        <f>IFERROR(INDEX(Company_Latest!G$2:G$500, SMALL(IF((Company_Latest!$L$2:$L$500="OVERDUE (IDLE)")+(Company_Latest!$L$2:$L$500="WARNING (3-14 Days)"), ROW(Company_Latest!$L$2:$L$500)-1), 22)), "")</f>
        <v/>
      </c>
      <c r="F31" s="8">
        <f>IFERROR(INDEX(Company_Latest!H$2:H$500, SMALL(IF((Company_Latest!$L$2:$L$500="OVERDUE (IDLE)")+(Company_Latest!$L$2:$L$500="WARNING (3-14 Days)"), ROW(Company_Latest!$L$2:$L$500)-1), 22)), "")</f>
        <v/>
      </c>
      <c r="G31" s="9">
        <f>IFERROR(INDEX(Company_Latest!K$2:K$500, SMALL(IF((Company_Latest!$L$2:$L$500="OVERDUE (IDLE)")+(Company_Latest!$L$2:$L$500="WARNING (3-14 Days)"), ROW(Company_Latest!$L$2:$L$500)-1), 22)), "")</f>
        <v/>
      </c>
      <c r="H31" s="8">
        <f>IFERROR(INDEX(Company_Latest!L$2:L$500, SMALL(IF((Company_Latest!$L$2:$L$500="OVERDUE (IDLE)")+(Company_Latest!$L$2:$L$500="WARNING (3-14 Days)"), ROW(Company_Latest!$L$2:$L$500)-1), 22)), "")</f>
        <v/>
      </c>
    </row>
    <row r="32">
      <c r="A32" s="8">
        <f>IF(B32&lt;&gt;"", 23, "")</f>
        <v/>
      </c>
      <c r="B32" s="9">
        <f>IFERROR(INDEX(Company_Latest!C$2:C$500, SMALL(IF((Company_Latest!$L$2:$L$500="OVERDUE (IDLE)")+(Company_Latest!$L$2:$L$500="WARNING (3-14 Days)"), ROW(Company_Latest!$L$2:$L$500)-1), 23)), "")</f>
        <v/>
      </c>
      <c r="C32" s="8">
        <f>IFERROR(INDEX(Company_Latest!D$2:D$500, SMALL(IF((Company_Latest!$L$2:$L$500="OVERDUE (IDLE)")+(Company_Latest!$L$2:$L$500="WARNING (3-14 Days)"), ROW(Company_Latest!$L$2:$L$500)-1), 23)), "")</f>
        <v/>
      </c>
      <c r="D32" s="9">
        <f>IFERROR(INDEX(Company_Latest!E$2:E$500, SMALL(IF((Company_Latest!$L$2:$L$500="OVERDUE (IDLE)")+(Company_Latest!$L$2:$L$500="WARNING (3-14 Days)"), ROW(Company_Latest!$L$2:$L$500)-1), 23)), "")</f>
        <v/>
      </c>
      <c r="E32" s="8">
        <f>IFERROR(INDEX(Company_Latest!G$2:G$500, SMALL(IF((Company_Latest!$L$2:$L$500="OVERDUE (IDLE)")+(Company_Latest!$L$2:$L$500="WARNING (3-14 Days)"), ROW(Company_Latest!$L$2:$L$500)-1), 23)), "")</f>
        <v/>
      </c>
      <c r="F32" s="8">
        <f>IFERROR(INDEX(Company_Latest!H$2:H$500, SMALL(IF((Company_Latest!$L$2:$L$500="OVERDUE (IDLE)")+(Company_Latest!$L$2:$L$500="WARNING (3-14 Days)"), ROW(Company_Latest!$L$2:$L$500)-1), 23)), "")</f>
        <v/>
      </c>
      <c r="G32" s="9">
        <f>IFERROR(INDEX(Company_Latest!K$2:K$500, SMALL(IF((Company_Latest!$L$2:$L$500="OVERDUE (IDLE)")+(Company_Latest!$L$2:$L$500="WARNING (3-14 Days)"), ROW(Company_Latest!$L$2:$L$500)-1), 23)), "")</f>
        <v/>
      </c>
      <c r="H32" s="8">
        <f>IFERROR(INDEX(Company_Latest!L$2:L$500, SMALL(IF((Company_Latest!$L$2:$L$500="OVERDUE (IDLE)")+(Company_Latest!$L$2:$L$500="WARNING (3-14 Days)"), ROW(Company_Latest!$L$2:$L$500)-1), 23)), "")</f>
        <v/>
      </c>
    </row>
    <row r="33">
      <c r="A33" s="8">
        <f>IF(B33&lt;&gt;"", 24, "")</f>
        <v/>
      </c>
      <c r="B33" s="9">
        <f>IFERROR(INDEX(Company_Latest!C$2:C$500, SMALL(IF((Company_Latest!$L$2:$L$500="OVERDUE (IDLE)")+(Company_Latest!$L$2:$L$500="WARNING (3-14 Days)"), ROW(Company_Latest!$L$2:$L$500)-1), 24)), "")</f>
        <v/>
      </c>
      <c r="C33" s="8">
        <f>IFERROR(INDEX(Company_Latest!D$2:D$500, SMALL(IF((Company_Latest!$L$2:$L$500="OVERDUE (IDLE)")+(Company_Latest!$L$2:$L$500="WARNING (3-14 Days)"), ROW(Company_Latest!$L$2:$L$500)-1), 24)), "")</f>
        <v/>
      </c>
      <c r="D33" s="9">
        <f>IFERROR(INDEX(Company_Latest!E$2:E$500, SMALL(IF((Company_Latest!$L$2:$L$500="OVERDUE (IDLE)")+(Company_Latest!$L$2:$L$500="WARNING (3-14 Days)"), ROW(Company_Latest!$L$2:$L$500)-1), 24)), "")</f>
        <v/>
      </c>
      <c r="E33" s="8">
        <f>IFERROR(INDEX(Company_Latest!G$2:G$500, SMALL(IF((Company_Latest!$L$2:$L$500="OVERDUE (IDLE)")+(Company_Latest!$L$2:$L$500="WARNING (3-14 Days)"), ROW(Company_Latest!$L$2:$L$500)-1), 24)), "")</f>
        <v/>
      </c>
      <c r="F33" s="8">
        <f>IFERROR(INDEX(Company_Latest!H$2:H$500, SMALL(IF((Company_Latest!$L$2:$L$500="OVERDUE (IDLE)")+(Company_Latest!$L$2:$L$500="WARNING (3-14 Days)"), ROW(Company_Latest!$L$2:$L$500)-1), 24)), "")</f>
        <v/>
      </c>
      <c r="G33" s="9">
        <f>IFERROR(INDEX(Company_Latest!K$2:K$500, SMALL(IF((Company_Latest!$L$2:$L$500="OVERDUE (IDLE)")+(Company_Latest!$L$2:$L$500="WARNING (3-14 Days)"), ROW(Company_Latest!$L$2:$L$500)-1), 24)), "")</f>
        <v/>
      </c>
      <c r="H33" s="8">
        <f>IFERROR(INDEX(Company_Latest!L$2:L$500, SMALL(IF((Company_Latest!$L$2:$L$500="OVERDUE (IDLE)")+(Company_Latest!$L$2:$L$500="WARNING (3-14 Days)"), ROW(Company_Latest!$L$2:$L$500)-1), 24)), "")</f>
        <v/>
      </c>
    </row>
    <row r="34">
      <c r="A34" s="8">
        <f>IF(B34&lt;&gt;"", 25, "")</f>
        <v/>
      </c>
      <c r="B34" s="9">
        <f>IFERROR(INDEX(Company_Latest!C$2:C$500, SMALL(IF((Company_Latest!$L$2:$L$500="OVERDUE (IDLE)")+(Company_Latest!$L$2:$L$500="WARNING (3-14 Days)"), ROW(Company_Latest!$L$2:$L$500)-1), 25)), "")</f>
        <v/>
      </c>
      <c r="C34" s="8">
        <f>IFERROR(INDEX(Company_Latest!D$2:D$500, SMALL(IF((Company_Latest!$L$2:$L$500="OVERDUE (IDLE)")+(Company_Latest!$L$2:$L$500="WARNING (3-14 Days)"), ROW(Company_Latest!$L$2:$L$500)-1), 25)), "")</f>
        <v/>
      </c>
      <c r="D34" s="9">
        <f>IFERROR(INDEX(Company_Latest!E$2:E$500, SMALL(IF((Company_Latest!$L$2:$L$500="OVERDUE (IDLE)")+(Company_Latest!$L$2:$L$500="WARNING (3-14 Days)"), ROW(Company_Latest!$L$2:$L$500)-1), 25)), "")</f>
        <v/>
      </c>
      <c r="E34" s="8">
        <f>IFERROR(INDEX(Company_Latest!G$2:G$500, SMALL(IF((Company_Latest!$L$2:$L$500="OVERDUE (IDLE)")+(Company_Latest!$L$2:$L$500="WARNING (3-14 Days)"), ROW(Company_Latest!$L$2:$L$500)-1), 25)), "")</f>
        <v/>
      </c>
      <c r="F34" s="8">
        <f>IFERROR(INDEX(Company_Latest!H$2:H$500, SMALL(IF((Company_Latest!$L$2:$L$500="OVERDUE (IDLE)")+(Company_Latest!$L$2:$L$500="WARNING (3-14 Days)"), ROW(Company_Latest!$L$2:$L$500)-1), 25)), "")</f>
        <v/>
      </c>
      <c r="G34" s="9">
        <f>IFERROR(INDEX(Company_Latest!K$2:K$500, SMALL(IF((Company_Latest!$L$2:$L$500="OVERDUE (IDLE)")+(Company_Latest!$L$2:$L$500="WARNING (3-14 Days)"), ROW(Company_Latest!$L$2:$L$500)-1), 25)), "")</f>
        <v/>
      </c>
      <c r="H34" s="8">
        <f>IFERROR(INDEX(Company_Latest!L$2:L$500, SMALL(IF((Company_Latest!$L$2:$L$500="OVERDUE (IDLE)")+(Company_Latest!$L$2:$L$500="WARNING (3-14 Days)"), ROW(Company_Latest!$L$2:$L$500)-1), 25)), "")</f>
        <v/>
      </c>
    </row>
    <row r="35">
      <c r="A35" s="8">
        <f>IF(B35&lt;&gt;"", 26, "")</f>
        <v/>
      </c>
      <c r="B35" s="9">
        <f>IFERROR(INDEX(Company_Latest!C$2:C$500, SMALL(IF((Company_Latest!$L$2:$L$500="OVERDUE (IDLE)")+(Company_Latest!$L$2:$L$500="WARNING (3-14 Days)"), ROW(Company_Latest!$L$2:$L$500)-1), 26)), "")</f>
        <v/>
      </c>
      <c r="C35" s="8">
        <f>IFERROR(INDEX(Company_Latest!D$2:D$500, SMALL(IF((Company_Latest!$L$2:$L$500="OVERDUE (IDLE)")+(Company_Latest!$L$2:$L$500="WARNING (3-14 Days)"), ROW(Company_Latest!$L$2:$L$500)-1), 26)), "")</f>
        <v/>
      </c>
      <c r="D35" s="9">
        <f>IFERROR(INDEX(Company_Latest!E$2:E$500, SMALL(IF((Company_Latest!$L$2:$L$500="OVERDUE (IDLE)")+(Company_Latest!$L$2:$L$500="WARNING (3-14 Days)"), ROW(Company_Latest!$L$2:$L$500)-1), 26)), "")</f>
        <v/>
      </c>
      <c r="E35" s="8">
        <f>IFERROR(INDEX(Company_Latest!G$2:G$500, SMALL(IF((Company_Latest!$L$2:$L$500="OVERDUE (IDLE)")+(Company_Latest!$L$2:$L$500="WARNING (3-14 Days)"), ROW(Company_Latest!$L$2:$L$500)-1), 26)), "")</f>
        <v/>
      </c>
      <c r="F35" s="8">
        <f>IFERROR(INDEX(Company_Latest!H$2:H$500, SMALL(IF((Company_Latest!$L$2:$L$500="OVERDUE (IDLE)")+(Company_Latest!$L$2:$L$500="WARNING (3-14 Days)"), ROW(Company_Latest!$L$2:$L$500)-1), 26)), "")</f>
        <v/>
      </c>
      <c r="G35" s="9">
        <f>IFERROR(INDEX(Company_Latest!K$2:K$500, SMALL(IF((Company_Latest!$L$2:$L$500="OVERDUE (IDLE)")+(Company_Latest!$L$2:$L$500="WARNING (3-14 Days)"), ROW(Company_Latest!$L$2:$L$500)-1), 26)), "")</f>
        <v/>
      </c>
      <c r="H35" s="8">
        <f>IFERROR(INDEX(Company_Latest!L$2:L$500, SMALL(IF((Company_Latest!$L$2:$L$500="OVERDUE (IDLE)")+(Company_Latest!$L$2:$L$500="WARNING (3-14 Days)"), ROW(Company_Latest!$L$2:$L$500)-1), 26)), "")</f>
        <v/>
      </c>
    </row>
    <row r="36">
      <c r="A36" s="8">
        <f>IF(B36&lt;&gt;"", 27, "")</f>
        <v/>
      </c>
      <c r="B36" s="9">
        <f>IFERROR(INDEX(Company_Latest!C$2:C$500, SMALL(IF((Company_Latest!$L$2:$L$500="OVERDUE (IDLE)")+(Company_Latest!$L$2:$L$500="WARNING (3-14 Days)"), ROW(Company_Latest!$L$2:$L$500)-1), 27)), "")</f>
        <v/>
      </c>
      <c r="C36" s="8">
        <f>IFERROR(INDEX(Company_Latest!D$2:D$500, SMALL(IF((Company_Latest!$L$2:$L$500="OVERDUE (IDLE)")+(Company_Latest!$L$2:$L$500="WARNING (3-14 Days)"), ROW(Company_Latest!$L$2:$L$500)-1), 27)), "")</f>
        <v/>
      </c>
      <c r="D36" s="9">
        <f>IFERROR(INDEX(Company_Latest!E$2:E$500, SMALL(IF((Company_Latest!$L$2:$L$500="OVERDUE (IDLE)")+(Company_Latest!$L$2:$L$500="WARNING (3-14 Days)"), ROW(Company_Latest!$L$2:$L$500)-1), 27)), "")</f>
        <v/>
      </c>
      <c r="E36" s="8">
        <f>IFERROR(INDEX(Company_Latest!G$2:G$500, SMALL(IF((Company_Latest!$L$2:$L$500="OVERDUE (IDLE)")+(Company_Latest!$L$2:$L$500="WARNING (3-14 Days)"), ROW(Company_Latest!$L$2:$L$500)-1), 27)), "")</f>
        <v/>
      </c>
      <c r="F36" s="8">
        <f>IFERROR(INDEX(Company_Latest!H$2:H$500, SMALL(IF((Company_Latest!$L$2:$L$500="OVERDUE (IDLE)")+(Company_Latest!$L$2:$L$500="WARNING (3-14 Days)"), ROW(Company_Latest!$L$2:$L$500)-1), 27)), "")</f>
        <v/>
      </c>
      <c r="G36" s="9">
        <f>IFERROR(INDEX(Company_Latest!K$2:K$500, SMALL(IF((Company_Latest!$L$2:$L$500="OVERDUE (IDLE)")+(Company_Latest!$L$2:$L$500="WARNING (3-14 Days)"), ROW(Company_Latest!$L$2:$L$500)-1), 27)), "")</f>
        <v/>
      </c>
      <c r="H36" s="8">
        <f>IFERROR(INDEX(Company_Latest!L$2:L$500, SMALL(IF((Company_Latest!$L$2:$L$500="OVERDUE (IDLE)")+(Company_Latest!$L$2:$L$500="WARNING (3-14 Days)"), ROW(Company_Latest!$L$2:$L$500)-1), 27)), "")</f>
        <v/>
      </c>
    </row>
    <row r="37">
      <c r="A37" s="8">
        <f>IF(B37&lt;&gt;"", 28, "")</f>
        <v/>
      </c>
      <c r="B37" s="9">
        <f>IFERROR(INDEX(Company_Latest!C$2:C$500, SMALL(IF((Company_Latest!$L$2:$L$500="OVERDUE (IDLE)")+(Company_Latest!$L$2:$L$500="WARNING (3-14 Days)"), ROW(Company_Latest!$L$2:$L$500)-1), 28)), "")</f>
        <v/>
      </c>
      <c r="C37" s="8">
        <f>IFERROR(INDEX(Company_Latest!D$2:D$500, SMALL(IF((Company_Latest!$L$2:$L$500="OVERDUE (IDLE)")+(Company_Latest!$L$2:$L$500="WARNING (3-14 Days)"), ROW(Company_Latest!$L$2:$L$500)-1), 28)), "")</f>
        <v/>
      </c>
      <c r="D37" s="9">
        <f>IFERROR(INDEX(Company_Latest!E$2:E$500, SMALL(IF((Company_Latest!$L$2:$L$500="OVERDUE (IDLE)")+(Company_Latest!$L$2:$L$500="WARNING (3-14 Days)"), ROW(Company_Latest!$L$2:$L$500)-1), 28)), "")</f>
        <v/>
      </c>
      <c r="E37" s="8">
        <f>IFERROR(INDEX(Company_Latest!G$2:G$500, SMALL(IF((Company_Latest!$L$2:$L$500="OVERDUE (IDLE)")+(Company_Latest!$L$2:$L$500="WARNING (3-14 Days)"), ROW(Company_Latest!$L$2:$L$500)-1), 28)), "")</f>
        <v/>
      </c>
      <c r="F37" s="8">
        <f>IFERROR(INDEX(Company_Latest!H$2:H$500, SMALL(IF((Company_Latest!$L$2:$L$500="OVERDUE (IDLE)")+(Company_Latest!$L$2:$L$500="WARNING (3-14 Days)"), ROW(Company_Latest!$L$2:$L$500)-1), 28)), "")</f>
        <v/>
      </c>
      <c r="G37" s="9">
        <f>IFERROR(INDEX(Company_Latest!K$2:K$500, SMALL(IF((Company_Latest!$L$2:$L$500="OVERDUE (IDLE)")+(Company_Latest!$L$2:$L$500="WARNING (3-14 Days)"), ROW(Company_Latest!$L$2:$L$500)-1), 28)), "")</f>
        <v/>
      </c>
      <c r="H37" s="8">
        <f>IFERROR(INDEX(Company_Latest!L$2:L$500, SMALL(IF((Company_Latest!$L$2:$L$500="OVERDUE (IDLE)")+(Company_Latest!$L$2:$L$500="WARNING (3-14 Days)"), ROW(Company_Latest!$L$2:$L$500)-1), 28)), "")</f>
        <v/>
      </c>
    </row>
    <row r="38">
      <c r="A38" s="8">
        <f>IF(B38&lt;&gt;"", 29, "")</f>
        <v/>
      </c>
      <c r="B38" s="9">
        <f>IFERROR(INDEX(Company_Latest!C$2:C$500, SMALL(IF((Company_Latest!$L$2:$L$500="OVERDUE (IDLE)")+(Company_Latest!$L$2:$L$500="WARNING (3-14 Days)"), ROW(Company_Latest!$L$2:$L$500)-1), 29)), "")</f>
        <v/>
      </c>
      <c r="C38" s="8">
        <f>IFERROR(INDEX(Company_Latest!D$2:D$500, SMALL(IF((Company_Latest!$L$2:$L$500="OVERDUE (IDLE)")+(Company_Latest!$L$2:$L$500="WARNING (3-14 Days)"), ROW(Company_Latest!$L$2:$L$500)-1), 29)), "")</f>
        <v/>
      </c>
      <c r="D38" s="9">
        <f>IFERROR(INDEX(Company_Latest!E$2:E$500, SMALL(IF((Company_Latest!$L$2:$L$500="OVERDUE (IDLE)")+(Company_Latest!$L$2:$L$500="WARNING (3-14 Days)"), ROW(Company_Latest!$L$2:$L$500)-1), 29)), "")</f>
        <v/>
      </c>
      <c r="E38" s="8">
        <f>IFERROR(INDEX(Company_Latest!G$2:G$500, SMALL(IF((Company_Latest!$L$2:$L$500="OVERDUE (IDLE)")+(Company_Latest!$L$2:$L$500="WARNING (3-14 Days)"), ROW(Company_Latest!$L$2:$L$500)-1), 29)), "")</f>
        <v/>
      </c>
      <c r="F38" s="8">
        <f>IFERROR(INDEX(Company_Latest!H$2:H$500, SMALL(IF((Company_Latest!$L$2:$L$500="OVERDUE (IDLE)")+(Company_Latest!$L$2:$L$500="WARNING (3-14 Days)"), ROW(Company_Latest!$L$2:$L$500)-1), 29)), "")</f>
        <v/>
      </c>
      <c r="G38" s="9">
        <f>IFERROR(INDEX(Company_Latest!K$2:K$500, SMALL(IF((Company_Latest!$L$2:$L$500="OVERDUE (IDLE)")+(Company_Latest!$L$2:$L$500="WARNING (3-14 Days)"), ROW(Company_Latest!$L$2:$L$500)-1), 29)), "")</f>
        <v/>
      </c>
      <c r="H38" s="8">
        <f>IFERROR(INDEX(Company_Latest!L$2:L$500, SMALL(IF((Company_Latest!$L$2:$L$500="OVERDUE (IDLE)")+(Company_Latest!$L$2:$L$500="WARNING (3-14 Days)"), ROW(Company_Latest!$L$2:$L$500)-1), 29)), "")</f>
        <v/>
      </c>
    </row>
    <row r="39">
      <c r="A39" s="8">
        <f>IF(B39&lt;&gt;"", 30, "")</f>
        <v/>
      </c>
      <c r="B39" s="9">
        <f>IFERROR(INDEX(Company_Latest!C$2:C$500, SMALL(IF((Company_Latest!$L$2:$L$500="OVERDUE (IDLE)")+(Company_Latest!$L$2:$L$500="WARNING (3-14 Days)"), ROW(Company_Latest!$L$2:$L$500)-1), 30)), "")</f>
        <v/>
      </c>
      <c r="C39" s="8">
        <f>IFERROR(INDEX(Company_Latest!D$2:D$500, SMALL(IF((Company_Latest!$L$2:$L$500="OVERDUE (IDLE)")+(Company_Latest!$L$2:$L$500="WARNING (3-14 Days)"), ROW(Company_Latest!$L$2:$L$500)-1), 30)), "")</f>
        <v/>
      </c>
      <c r="D39" s="9">
        <f>IFERROR(INDEX(Company_Latest!E$2:E$500, SMALL(IF((Company_Latest!$L$2:$L$500="OVERDUE (IDLE)")+(Company_Latest!$L$2:$L$500="WARNING (3-14 Days)"), ROW(Company_Latest!$L$2:$L$500)-1), 30)), "")</f>
        <v/>
      </c>
      <c r="E39" s="8">
        <f>IFERROR(INDEX(Company_Latest!G$2:G$500, SMALL(IF((Company_Latest!$L$2:$L$500="OVERDUE (IDLE)")+(Company_Latest!$L$2:$L$500="WARNING (3-14 Days)"), ROW(Company_Latest!$L$2:$L$500)-1), 30)), "")</f>
        <v/>
      </c>
      <c r="F39" s="8">
        <f>IFERROR(INDEX(Company_Latest!H$2:H$500, SMALL(IF((Company_Latest!$L$2:$L$500="OVERDUE (IDLE)")+(Company_Latest!$L$2:$L$500="WARNING (3-14 Days)"), ROW(Company_Latest!$L$2:$L$500)-1), 30)), "")</f>
        <v/>
      </c>
      <c r="G39" s="9">
        <f>IFERROR(INDEX(Company_Latest!K$2:K$500, SMALL(IF((Company_Latest!$L$2:$L$500="OVERDUE (IDLE)")+(Company_Latest!$L$2:$L$500="WARNING (3-14 Days)"), ROW(Company_Latest!$L$2:$L$500)-1), 30)), "")</f>
        <v/>
      </c>
      <c r="H39" s="8">
        <f>IFERROR(INDEX(Company_Latest!L$2:L$500, SMALL(IF((Company_Latest!$L$2:$L$500="OVERDUE (IDLE)")+(Company_Latest!$L$2:$L$500="WARNING (3-14 Days)"), ROW(Company_Latest!$L$2:$L$500)-1), 30)), "")</f>
        <v/>
      </c>
    </row>
    <row r="40">
      <c r="A40" s="8">
        <f>IF(B40&lt;&gt;"", 31, "")</f>
        <v/>
      </c>
      <c r="B40" s="9">
        <f>IFERROR(INDEX(Company_Latest!C$2:C$500, SMALL(IF((Company_Latest!$L$2:$L$500="OVERDUE (IDLE)")+(Company_Latest!$L$2:$L$500="WARNING (3-14 Days)"), ROW(Company_Latest!$L$2:$L$500)-1), 31)), "")</f>
        <v/>
      </c>
      <c r="C40" s="8">
        <f>IFERROR(INDEX(Company_Latest!D$2:D$500, SMALL(IF((Company_Latest!$L$2:$L$500="OVERDUE (IDLE)")+(Company_Latest!$L$2:$L$500="WARNING (3-14 Days)"), ROW(Company_Latest!$L$2:$L$500)-1), 31)), "")</f>
        <v/>
      </c>
      <c r="D40" s="9">
        <f>IFERROR(INDEX(Company_Latest!E$2:E$500, SMALL(IF((Company_Latest!$L$2:$L$500="OVERDUE (IDLE)")+(Company_Latest!$L$2:$L$500="WARNING (3-14 Days)"), ROW(Company_Latest!$L$2:$L$500)-1), 31)), "")</f>
        <v/>
      </c>
      <c r="E40" s="8">
        <f>IFERROR(INDEX(Company_Latest!G$2:G$500, SMALL(IF((Company_Latest!$L$2:$L$500="OVERDUE (IDLE)")+(Company_Latest!$L$2:$L$500="WARNING (3-14 Days)"), ROW(Company_Latest!$L$2:$L$500)-1), 31)), "")</f>
        <v/>
      </c>
      <c r="F40" s="8">
        <f>IFERROR(INDEX(Company_Latest!H$2:H$500, SMALL(IF((Company_Latest!$L$2:$L$500="OVERDUE (IDLE)")+(Company_Latest!$L$2:$L$500="WARNING (3-14 Days)"), ROW(Company_Latest!$L$2:$L$500)-1), 31)), "")</f>
        <v/>
      </c>
      <c r="G40" s="9">
        <f>IFERROR(INDEX(Company_Latest!K$2:K$500, SMALL(IF((Company_Latest!$L$2:$L$500="OVERDUE (IDLE)")+(Company_Latest!$L$2:$L$500="WARNING (3-14 Days)"), ROW(Company_Latest!$L$2:$L$500)-1), 31)), "")</f>
        <v/>
      </c>
      <c r="H40" s="8">
        <f>IFERROR(INDEX(Company_Latest!L$2:L$500, SMALL(IF((Company_Latest!$L$2:$L$500="OVERDUE (IDLE)")+(Company_Latest!$L$2:$L$500="WARNING (3-14 Days)"), ROW(Company_Latest!$L$2:$L$500)-1), 31)), "")</f>
        <v/>
      </c>
    </row>
    <row r="41">
      <c r="A41" s="8">
        <f>IF(B41&lt;&gt;"", 32, "")</f>
        <v/>
      </c>
      <c r="B41" s="9">
        <f>IFERROR(INDEX(Company_Latest!C$2:C$500, SMALL(IF((Company_Latest!$L$2:$L$500="OVERDUE (IDLE)")+(Company_Latest!$L$2:$L$500="WARNING (3-14 Days)"), ROW(Company_Latest!$L$2:$L$500)-1), 32)), "")</f>
        <v/>
      </c>
      <c r="C41" s="8">
        <f>IFERROR(INDEX(Company_Latest!D$2:D$500, SMALL(IF((Company_Latest!$L$2:$L$500="OVERDUE (IDLE)")+(Company_Latest!$L$2:$L$500="WARNING (3-14 Days)"), ROW(Company_Latest!$L$2:$L$500)-1), 32)), "")</f>
        <v/>
      </c>
      <c r="D41" s="9">
        <f>IFERROR(INDEX(Company_Latest!E$2:E$500, SMALL(IF((Company_Latest!$L$2:$L$500="OVERDUE (IDLE)")+(Company_Latest!$L$2:$L$500="WARNING (3-14 Days)"), ROW(Company_Latest!$L$2:$L$500)-1), 32)), "")</f>
        <v/>
      </c>
      <c r="E41" s="8">
        <f>IFERROR(INDEX(Company_Latest!G$2:G$500, SMALL(IF((Company_Latest!$L$2:$L$500="OVERDUE (IDLE)")+(Company_Latest!$L$2:$L$500="WARNING (3-14 Days)"), ROW(Company_Latest!$L$2:$L$500)-1), 32)), "")</f>
        <v/>
      </c>
      <c r="F41" s="8">
        <f>IFERROR(INDEX(Company_Latest!H$2:H$500, SMALL(IF((Company_Latest!$L$2:$L$500="OVERDUE (IDLE)")+(Company_Latest!$L$2:$L$500="WARNING (3-14 Days)"), ROW(Company_Latest!$L$2:$L$500)-1), 32)), "")</f>
        <v/>
      </c>
      <c r="G41" s="9">
        <f>IFERROR(INDEX(Company_Latest!K$2:K$500, SMALL(IF((Company_Latest!$L$2:$L$500="OVERDUE (IDLE)")+(Company_Latest!$L$2:$L$500="WARNING (3-14 Days)"), ROW(Company_Latest!$L$2:$L$500)-1), 32)), "")</f>
        <v/>
      </c>
      <c r="H41" s="8">
        <f>IFERROR(INDEX(Company_Latest!L$2:L$500, SMALL(IF((Company_Latest!$L$2:$L$500="OVERDUE (IDLE)")+(Company_Latest!$L$2:$L$500="WARNING (3-14 Days)"), ROW(Company_Latest!$L$2:$L$500)-1), 32)), "")</f>
        <v/>
      </c>
    </row>
    <row r="42">
      <c r="A42" s="8">
        <f>IF(B42&lt;&gt;"", 33, "")</f>
        <v/>
      </c>
      <c r="B42" s="9">
        <f>IFERROR(INDEX(Company_Latest!C$2:C$500, SMALL(IF((Company_Latest!$L$2:$L$500="OVERDUE (IDLE)")+(Company_Latest!$L$2:$L$500="WARNING (3-14 Days)"), ROW(Company_Latest!$L$2:$L$500)-1), 33)), "")</f>
        <v/>
      </c>
      <c r="C42" s="8">
        <f>IFERROR(INDEX(Company_Latest!D$2:D$500, SMALL(IF((Company_Latest!$L$2:$L$500="OVERDUE (IDLE)")+(Company_Latest!$L$2:$L$500="WARNING (3-14 Days)"), ROW(Company_Latest!$L$2:$L$500)-1), 33)), "")</f>
        <v/>
      </c>
      <c r="D42" s="9">
        <f>IFERROR(INDEX(Company_Latest!E$2:E$500, SMALL(IF((Company_Latest!$L$2:$L$500="OVERDUE (IDLE)")+(Company_Latest!$L$2:$L$500="WARNING (3-14 Days)"), ROW(Company_Latest!$L$2:$L$500)-1), 33)), "")</f>
        <v/>
      </c>
      <c r="E42" s="8">
        <f>IFERROR(INDEX(Company_Latest!G$2:G$500, SMALL(IF((Company_Latest!$L$2:$L$500="OVERDUE (IDLE)")+(Company_Latest!$L$2:$L$500="WARNING (3-14 Days)"), ROW(Company_Latest!$L$2:$L$500)-1), 33)), "")</f>
        <v/>
      </c>
      <c r="F42" s="8">
        <f>IFERROR(INDEX(Company_Latest!H$2:H$500, SMALL(IF((Company_Latest!$L$2:$L$500="OVERDUE (IDLE)")+(Company_Latest!$L$2:$L$500="WARNING (3-14 Days)"), ROW(Company_Latest!$L$2:$L$500)-1), 33)), "")</f>
        <v/>
      </c>
      <c r="G42" s="9">
        <f>IFERROR(INDEX(Company_Latest!K$2:K$500, SMALL(IF((Company_Latest!$L$2:$L$500="OVERDUE (IDLE)")+(Company_Latest!$L$2:$L$500="WARNING (3-14 Days)"), ROW(Company_Latest!$L$2:$L$500)-1), 33)), "")</f>
        <v/>
      </c>
      <c r="H42" s="8">
        <f>IFERROR(INDEX(Company_Latest!L$2:L$500, SMALL(IF((Company_Latest!$L$2:$L$500="OVERDUE (IDLE)")+(Company_Latest!$L$2:$L$500="WARNING (3-14 Days)"), ROW(Company_Latest!$L$2:$L$500)-1), 33)), "")</f>
        <v/>
      </c>
    </row>
    <row r="43">
      <c r="A43" s="8">
        <f>IF(B43&lt;&gt;"", 34, "")</f>
        <v/>
      </c>
      <c r="B43" s="9">
        <f>IFERROR(INDEX(Company_Latest!C$2:C$500, SMALL(IF((Company_Latest!$L$2:$L$500="OVERDUE (IDLE)")+(Company_Latest!$L$2:$L$500="WARNING (3-14 Days)"), ROW(Company_Latest!$L$2:$L$500)-1), 34)), "")</f>
        <v/>
      </c>
      <c r="C43" s="8">
        <f>IFERROR(INDEX(Company_Latest!D$2:D$500, SMALL(IF((Company_Latest!$L$2:$L$500="OVERDUE (IDLE)")+(Company_Latest!$L$2:$L$500="WARNING (3-14 Days)"), ROW(Company_Latest!$L$2:$L$500)-1), 34)), "")</f>
        <v/>
      </c>
      <c r="D43" s="9">
        <f>IFERROR(INDEX(Company_Latest!E$2:E$500, SMALL(IF((Company_Latest!$L$2:$L$500="OVERDUE (IDLE)")+(Company_Latest!$L$2:$L$500="WARNING (3-14 Days)"), ROW(Company_Latest!$L$2:$L$500)-1), 34)), "")</f>
        <v/>
      </c>
      <c r="E43" s="8">
        <f>IFERROR(INDEX(Company_Latest!G$2:G$500, SMALL(IF((Company_Latest!$L$2:$L$500="OVERDUE (IDLE)")+(Company_Latest!$L$2:$L$500="WARNING (3-14 Days)"), ROW(Company_Latest!$L$2:$L$500)-1), 34)), "")</f>
        <v/>
      </c>
      <c r="F43" s="8">
        <f>IFERROR(INDEX(Company_Latest!H$2:H$500, SMALL(IF((Company_Latest!$L$2:$L$500="OVERDUE (IDLE)")+(Company_Latest!$L$2:$L$500="WARNING (3-14 Days)"), ROW(Company_Latest!$L$2:$L$500)-1), 34)), "")</f>
        <v/>
      </c>
      <c r="G43" s="9">
        <f>IFERROR(INDEX(Company_Latest!K$2:K$500, SMALL(IF((Company_Latest!$L$2:$L$500="OVERDUE (IDLE)")+(Company_Latest!$L$2:$L$500="WARNING (3-14 Days)"), ROW(Company_Latest!$L$2:$L$500)-1), 34)), "")</f>
        <v/>
      </c>
      <c r="H43" s="8">
        <f>IFERROR(INDEX(Company_Latest!L$2:L$500, SMALL(IF((Company_Latest!$L$2:$L$500="OVERDUE (IDLE)")+(Company_Latest!$L$2:$L$500="WARNING (3-14 Days)"), ROW(Company_Latest!$L$2:$L$500)-1), 34)), "")</f>
        <v/>
      </c>
    </row>
    <row r="44">
      <c r="A44" s="8">
        <f>IF(B44&lt;&gt;"", 35, "")</f>
        <v/>
      </c>
      <c r="B44" s="9">
        <f>IFERROR(INDEX(Company_Latest!C$2:C$500, SMALL(IF((Company_Latest!$L$2:$L$500="OVERDUE (IDLE)")+(Company_Latest!$L$2:$L$500="WARNING (3-14 Days)"), ROW(Company_Latest!$L$2:$L$500)-1), 35)), "")</f>
        <v/>
      </c>
      <c r="C44" s="8">
        <f>IFERROR(INDEX(Company_Latest!D$2:D$500, SMALL(IF((Company_Latest!$L$2:$L$500="OVERDUE (IDLE)")+(Company_Latest!$L$2:$L$500="WARNING (3-14 Days)"), ROW(Company_Latest!$L$2:$L$500)-1), 35)), "")</f>
        <v/>
      </c>
      <c r="D44" s="9">
        <f>IFERROR(INDEX(Company_Latest!E$2:E$500, SMALL(IF((Company_Latest!$L$2:$L$500="OVERDUE (IDLE)")+(Company_Latest!$L$2:$L$500="WARNING (3-14 Days)"), ROW(Company_Latest!$L$2:$L$500)-1), 35)), "")</f>
        <v/>
      </c>
      <c r="E44" s="8">
        <f>IFERROR(INDEX(Company_Latest!G$2:G$500, SMALL(IF((Company_Latest!$L$2:$L$500="OVERDUE (IDLE)")+(Company_Latest!$L$2:$L$500="WARNING (3-14 Days)"), ROW(Company_Latest!$L$2:$L$500)-1), 35)), "")</f>
        <v/>
      </c>
      <c r="F44" s="8">
        <f>IFERROR(INDEX(Company_Latest!H$2:H$500, SMALL(IF((Company_Latest!$L$2:$L$500="OVERDUE (IDLE)")+(Company_Latest!$L$2:$L$500="WARNING (3-14 Days)"), ROW(Company_Latest!$L$2:$L$500)-1), 35)), "")</f>
        <v/>
      </c>
      <c r="G44" s="9">
        <f>IFERROR(INDEX(Company_Latest!K$2:K$500, SMALL(IF((Company_Latest!$L$2:$L$500="OVERDUE (IDLE)")+(Company_Latest!$L$2:$L$500="WARNING (3-14 Days)"), ROW(Company_Latest!$L$2:$L$500)-1), 35)), "")</f>
        <v/>
      </c>
      <c r="H44" s="8">
        <f>IFERROR(INDEX(Company_Latest!L$2:L$500, SMALL(IF((Company_Latest!$L$2:$L$500="OVERDUE (IDLE)")+(Company_Latest!$L$2:$L$500="WARNING (3-14 Days)"), ROW(Company_Latest!$L$2:$L$500)-1), 35)), "")</f>
        <v/>
      </c>
    </row>
    <row r="45">
      <c r="A45" s="8">
        <f>IF(B45&lt;&gt;"", 36, "")</f>
        <v/>
      </c>
      <c r="B45" s="9">
        <f>IFERROR(INDEX(Company_Latest!C$2:C$500, SMALL(IF((Company_Latest!$L$2:$L$500="OVERDUE (IDLE)")+(Company_Latest!$L$2:$L$500="WARNING (3-14 Days)"), ROW(Company_Latest!$L$2:$L$500)-1), 36)), "")</f>
        <v/>
      </c>
      <c r="C45" s="8">
        <f>IFERROR(INDEX(Company_Latest!D$2:D$500, SMALL(IF((Company_Latest!$L$2:$L$500="OVERDUE (IDLE)")+(Company_Latest!$L$2:$L$500="WARNING (3-14 Days)"), ROW(Company_Latest!$L$2:$L$500)-1), 36)), "")</f>
        <v/>
      </c>
      <c r="D45" s="9">
        <f>IFERROR(INDEX(Company_Latest!E$2:E$500, SMALL(IF((Company_Latest!$L$2:$L$500="OVERDUE (IDLE)")+(Company_Latest!$L$2:$L$500="WARNING (3-14 Days)"), ROW(Company_Latest!$L$2:$L$500)-1), 36)), "")</f>
        <v/>
      </c>
      <c r="E45" s="8">
        <f>IFERROR(INDEX(Company_Latest!G$2:G$500, SMALL(IF((Company_Latest!$L$2:$L$500="OVERDUE (IDLE)")+(Company_Latest!$L$2:$L$500="WARNING (3-14 Days)"), ROW(Company_Latest!$L$2:$L$500)-1), 36)), "")</f>
        <v/>
      </c>
      <c r="F45" s="8">
        <f>IFERROR(INDEX(Company_Latest!H$2:H$500, SMALL(IF((Company_Latest!$L$2:$L$500="OVERDUE (IDLE)")+(Company_Latest!$L$2:$L$500="WARNING (3-14 Days)"), ROW(Company_Latest!$L$2:$L$500)-1), 36)), "")</f>
        <v/>
      </c>
      <c r="G45" s="9">
        <f>IFERROR(INDEX(Company_Latest!K$2:K$500, SMALL(IF((Company_Latest!$L$2:$L$500="OVERDUE (IDLE)")+(Company_Latest!$L$2:$L$500="WARNING (3-14 Days)"), ROW(Company_Latest!$L$2:$L$500)-1), 36)), "")</f>
        <v/>
      </c>
      <c r="H45" s="8">
        <f>IFERROR(INDEX(Company_Latest!L$2:L$500, SMALL(IF((Company_Latest!$L$2:$L$500="OVERDUE (IDLE)")+(Company_Latest!$L$2:$L$500="WARNING (3-14 Days)"), ROW(Company_Latest!$L$2:$L$500)-1), 36)), "")</f>
        <v/>
      </c>
    </row>
    <row r="46">
      <c r="A46" s="8">
        <f>IF(B46&lt;&gt;"", 37, "")</f>
        <v/>
      </c>
      <c r="B46" s="9">
        <f>IFERROR(INDEX(Company_Latest!C$2:C$500, SMALL(IF((Company_Latest!$L$2:$L$500="OVERDUE (IDLE)")+(Company_Latest!$L$2:$L$500="WARNING (3-14 Days)"), ROW(Company_Latest!$L$2:$L$500)-1), 37)), "")</f>
        <v/>
      </c>
      <c r="C46" s="8">
        <f>IFERROR(INDEX(Company_Latest!D$2:D$500, SMALL(IF((Company_Latest!$L$2:$L$500="OVERDUE (IDLE)")+(Company_Latest!$L$2:$L$500="WARNING (3-14 Days)"), ROW(Company_Latest!$L$2:$L$500)-1), 37)), "")</f>
        <v/>
      </c>
      <c r="D46" s="9">
        <f>IFERROR(INDEX(Company_Latest!E$2:E$500, SMALL(IF((Company_Latest!$L$2:$L$500="OVERDUE (IDLE)")+(Company_Latest!$L$2:$L$500="WARNING (3-14 Days)"), ROW(Company_Latest!$L$2:$L$500)-1), 37)), "")</f>
        <v/>
      </c>
      <c r="E46" s="8">
        <f>IFERROR(INDEX(Company_Latest!G$2:G$500, SMALL(IF((Company_Latest!$L$2:$L$500="OVERDUE (IDLE)")+(Company_Latest!$L$2:$L$500="WARNING (3-14 Days)"), ROW(Company_Latest!$L$2:$L$500)-1), 37)), "")</f>
        <v/>
      </c>
      <c r="F46" s="8">
        <f>IFERROR(INDEX(Company_Latest!H$2:H$500, SMALL(IF((Company_Latest!$L$2:$L$500="OVERDUE (IDLE)")+(Company_Latest!$L$2:$L$500="WARNING (3-14 Days)"), ROW(Company_Latest!$L$2:$L$500)-1), 37)), "")</f>
        <v/>
      </c>
      <c r="G46" s="9">
        <f>IFERROR(INDEX(Company_Latest!K$2:K$500, SMALL(IF((Company_Latest!$L$2:$L$500="OVERDUE (IDLE)")+(Company_Latest!$L$2:$L$500="WARNING (3-14 Days)"), ROW(Company_Latest!$L$2:$L$500)-1), 37)), "")</f>
        <v/>
      </c>
      <c r="H46" s="8">
        <f>IFERROR(INDEX(Company_Latest!L$2:L$500, SMALL(IF((Company_Latest!$L$2:$L$500="OVERDUE (IDLE)")+(Company_Latest!$L$2:$L$500="WARNING (3-14 Days)"), ROW(Company_Latest!$L$2:$L$500)-1), 37)), "")</f>
        <v/>
      </c>
    </row>
    <row r="47">
      <c r="A47" s="8">
        <f>IF(B47&lt;&gt;"", 38, "")</f>
        <v/>
      </c>
      <c r="B47" s="9">
        <f>IFERROR(INDEX(Company_Latest!C$2:C$500, SMALL(IF((Company_Latest!$L$2:$L$500="OVERDUE (IDLE)")+(Company_Latest!$L$2:$L$500="WARNING (3-14 Days)"), ROW(Company_Latest!$L$2:$L$500)-1), 38)), "")</f>
        <v/>
      </c>
      <c r="C47" s="8">
        <f>IFERROR(INDEX(Company_Latest!D$2:D$500, SMALL(IF((Company_Latest!$L$2:$L$500="OVERDUE (IDLE)")+(Company_Latest!$L$2:$L$500="WARNING (3-14 Days)"), ROW(Company_Latest!$L$2:$L$500)-1), 38)), "")</f>
        <v/>
      </c>
      <c r="D47" s="9">
        <f>IFERROR(INDEX(Company_Latest!E$2:E$500, SMALL(IF((Company_Latest!$L$2:$L$500="OVERDUE (IDLE)")+(Company_Latest!$L$2:$L$500="WARNING (3-14 Days)"), ROW(Company_Latest!$L$2:$L$500)-1), 38)), "")</f>
        <v/>
      </c>
      <c r="E47" s="8">
        <f>IFERROR(INDEX(Company_Latest!G$2:G$500, SMALL(IF((Company_Latest!$L$2:$L$500="OVERDUE (IDLE)")+(Company_Latest!$L$2:$L$500="WARNING (3-14 Days)"), ROW(Company_Latest!$L$2:$L$500)-1), 38)), "")</f>
        <v/>
      </c>
      <c r="F47" s="8">
        <f>IFERROR(INDEX(Company_Latest!H$2:H$500, SMALL(IF((Company_Latest!$L$2:$L$500="OVERDUE (IDLE)")+(Company_Latest!$L$2:$L$500="WARNING (3-14 Days)"), ROW(Company_Latest!$L$2:$L$500)-1), 38)), "")</f>
        <v/>
      </c>
      <c r="G47" s="9">
        <f>IFERROR(INDEX(Company_Latest!K$2:K$500, SMALL(IF((Company_Latest!$L$2:$L$500="OVERDUE (IDLE)")+(Company_Latest!$L$2:$L$500="WARNING (3-14 Days)"), ROW(Company_Latest!$L$2:$L$500)-1), 38)), "")</f>
        <v/>
      </c>
      <c r="H47" s="8">
        <f>IFERROR(INDEX(Company_Latest!L$2:L$500, SMALL(IF((Company_Latest!$L$2:$L$500="OVERDUE (IDLE)")+(Company_Latest!$L$2:$L$500="WARNING (3-14 Days)"), ROW(Company_Latest!$L$2:$L$500)-1), 38)), "")</f>
        <v/>
      </c>
    </row>
    <row r="48">
      <c r="A48" s="8">
        <f>IF(B48&lt;&gt;"", 39, "")</f>
        <v/>
      </c>
      <c r="B48" s="9">
        <f>IFERROR(INDEX(Company_Latest!C$2:C$500, SMALL(IF((Company_Latest!$L$2:$L$500="OVERDUE (IDLE)")+(Company_Latest!$L$2:$L$500="WARNING (3-14 Days)"), ROW(Company_Latest!$L$2:$L$500)-1), 39)), "")</f>
        <v/>
      </c>
      <c r="C48" s="8">
        <f>IFERROR(INDEX(Company_Latest!D$2:D$500, SMALL(IF((Company_Latest!$L$2:$L$500="OVERDUE (IDLE)")+(Company_Latest!$L$2:$L$500="WARNING (3-14 Days)"), ROW(Company_Latest!$L$2:$L$500)-1), 39)), "")</f>
        <v/>
      </c>
      <c r="D48" s="9">
        <f>IFERROR(INDEX(Company_Latest!E$2:E$500, SMALL(IF((Company_Latest!$L$2:$L$500="OVERDUE (IDLE)")+(Company_Latest!$L$2:$L$500="WARNING (3-14 Days)"), ROW(Company_Latest!$L$2:$L$500)-1), 39)), "")</f>
        <v/>
      </c>
      <c r="E48" s="8">
        <f>IFERROR(INDEX(Company_Latest!G$2:G$500, SMALL(IF((Company_Latest!$L$2:$L$500="OVERDUE (IDLE)")+(Company_Latest!$L$2:$L$500="WARNING (3-14 Days)"), ROW(Company_Latest!$L$2:$L$500)-1), 39)), "")</f>
        <v/>
      </c>
      <c r="F48" s="8">
        <f>IFERROR(INDEX(Company_Latest!H$2:H$500, SMALL(IF((Company_Latest!$L$2:$L$500="OVERDUE (IDLE)")+(Company_Latest!$L$2:$L$500="WARNING (3-14 Days)"), ROW(Company_Latest!$L$2:$L$500)-1), 39)), "")</f>
        <v/>
      </c>
      <c r="G48" s="9">
        <f>IFERROR(INDEX(Company_Latest!K$2:K$500, SMALL(IF((Company_Latest!$L$2:$L$500="OVERDUE (IDLE)")+(Company_Latest!$L$2:$L$500="WARNING (3-14 Days)"), ROW(Company_Latest!$L$2:$L$500)-1), 39)), "")</f>
        <v/>
      </c>
      <c r="H48" s="8">
        <f>IFERROR(INDEX(Company_Latest!L$2:L$500, SMALL(IF((Company_Latest!$L$2:$L$500="OVERDUE (IDLE)")+(Company_Latest!$L$2:$L$500="WARNING (3-14 Days)"), ROW(Company_Latest!$L$2:$L$500)-1), 39)), "")</f>
        <v/>
      </c>
    </row>
    <row r="49">
      <c r="A49" s="8">
        <f>IF(B49&lt;&gt;"", 40, "")</f>
        <v/>
      </c>
      <c r="B49" s="9">
        <f>IFERROR(INDEX(Company_Latest!C$2:C$500, SMALL(IF((Company_Latest!$L$2:$L$500="OVERDUE (IDLE)")+(Company_Latest!$L$2:$L$500="WARNING (3-14 Days)"), ROW(Company_Latest!$L$2:$L$500)-1), 40)), "")</f>
        <v/>
      </c>
      <c r="C49" s="8">
        <f>IFERROR(INDEX(Company_Latest!D$2:D$500, SMALL(IF((Company_Latest!$L$2:$L$500="OVERDUE (IDLE)")+(Company_Latest!$L$2:$L$500="WARNING (3-14 Days)"), ROW(Company_Latest!$L$2:$L$500)-1), 40)), "")</f>
        <v/>
      </c>
      <c r="D49" s="9">
        <f>IFERROR(INDEX(Company_Latest!E$2:E$500, SMALL(IF((Company_Latest!$L$2:$L$500="OVERDUE (IDLE)")+(Company_Latest!$L$2:$L$500="WARNING (3-14 Days)"), ROW(Company_Latest!$L$2:$L$500)-1), 40)), "")</f>
        <v/>
      </c>
      <c r="E49" s="8">
        <f>IFERROR(INDEX(Company_Latest!G$2:G$500, SMALL(IF((Company_Latest!$L$2:$L$500="OVERDUE (IDLE)")+(Company_Latest!$L$2:$L$500="WARNING (3-14 Days)"), ROW(Company_Latest!$L$2:$L$500)-1), 40)), "")</f>
        <v/>
      </c>
      <c r="F49" s="8">
        <f>IFERROR(INDEX(Company_Latest!H$2:H$500, SMALL(IF((Company_Latest!$L$2:$L$500="OVERDUE (IDLE)")+(Company_Latest!$L$2:$L$500="WARNING (3-14 Days)"), ROW(Company_Latest!$L$2:$L$500)-1), 40)), "")</f>
        <v/>
      </c>
      <c r="G49" s="9">
        <f>IFERROR(INDEX(Company_Latest!K$2:K$500, SMALL(IF((Company_Latest!$L$2:$L$500="OVERDUE (IDLE)")+(Company_Latest!$L$2:$L$500="WARNING (3-14 Days)"), ROW(Company_Latest!$L$2:$L$500)-1), 40)), "")</f>
        <v/>
      </c>
      <c r="H49" s="8">
        <f>IFERROR(INDEX(Company_Latest!L$2:L$500, SMALL(IF((Company_Latest!$L$2:$L$500="OVERDUE (IDLE)")+(Company_Latest!$L$2:$L$500="WARNING (3-14 Days)"), ROW(Company_Latest!$L$2:$L$500)-1), 40)), "")</f>
        <v/>
      </c>
    </row>
    <row r="50">
      <c r="A50" s="8">
        <f>IF(B50&lt;&gt;"", 41, "")</f>
        <v/>
      </c>
      <c r="B50" s="9">
        <f>IFERROR(INDEX(Company_Latest!C$2:C$500, SMALL(IF((Company_Latest!$L$2:$L$500="OVERDUE (IDLE)")+(Company_Latest!$L$2:$L$500="WARNING (3-14 Days)"), ROW(Company_Latest!$L$2:$L$500)-1), 41)), "")</f>
        <v/>
      </c>
      <c r="C50" s="8">
        <f>IFERROR(INDEX(Company_Latest!D$2:D$500, SMALL(IF((Company_Latest!$L$2:$L$500="OVERDUE (IDLE)")+(Company_Latest!$L$2:$L$500="WARNING (3-14 Days)"), ROW(Company_Latest!$L$2:$L$500)-1), 41)), "")</f>
        <v/>
      </c>
      <c r="D50" s="9">
        <f>IFERROR(INDEX(Company_Latest!E$2:E$500, SMALL(IF((Company_Latest!$L$2:$L$500="OVERDUE (IDLE)")+(Company_Latest!$L$2:$L$500="WARNING (3-14 Days)"), ROW(Company_Latest!$L$2:$L$500)-1), 41)), "")</f>
        <v/>
      </c>
      <c r="E50" s="8">
        <f>IFERROR(INDEX(Company_Latest!G$2:G$500, SMALL(IF((Company_Latest!$L$2:$L$500="OVERDUE (IDLE)")+(Company_Latest!$L$2:$L$500="WARNING (3-14 Days)"), ROW(Company_Latest!$L$2:$L$500)-1), 41)), "")</f>
        <v/>
      </c>
      <c r="F50" s="8">
        <f>IFERROR(INDEX(Company_Latest!H$2:H$500, SMALL(IF((Company_Latest!$L$2:$L$500="OVERDUE (IDLE)")+(Company_Latest!$L$2:$L$500="WARNING (3-14 Days)"), ROW(Company_Latest!$L$2:$L$500)-1), 41)), "")</f>
        <v/>
      </c>
      <c r="G50" s="9">
        <f>IFERROR(INDEX(Company_Latest!K$2:K$500, SMALL(IF((Company_Latest!$L$2:$L$500="OVERDUE (IDLE)")+(Company_Latest!$L$2:$L$500="WARNING (3-14 Days)"), ROW(Company_Latest!$L$2:$L$500)-1), 41)), "")</f>
        <v/>
      </c>
      <c r="H50" s="8">
        <f>IFERROR(INDEX(Company_Latest!L$2:L$500, SMALL(IF((Company_Latest!$L$2:$L$500="OVERDUE (IDLE)")+(Company_Latest!$L$2:$L$500="WARNING (3-14 Days)"), ROW(Company_Latest!$L$2:$L$500)-1), 41)), "")</f>
        <v/>
      </c>
    </row>
    <row r="51">
      <c r="A51" s="8">
        <f>IF(B51&lt;&gt;"", 42, "")</f>
        <v/>
      </c>
      <c r="B51" s="9">
        <f>IFERROR(INDEX(Company_Latest!C$2:C$500, SMALL(IF((Company_Latest!$L$2:$L$500="OVERDUE (IDLE)")+(Company_Latest!$L$2:$L$500="WARNING (3-14 Days)"), ROW(Company_Latest!$L$2:$L$500)-1), 42)), "")</f>
        <v/>
      </c>
      <c r="C51" s="8">
        <f>IFERROR(INDEX(Company_Latest!D$2:D$500, SMALL(IF((Company_Latest!$L$2:$L$500="OVERDUE (IDLE)")+(Company_Latest!$L$2:$L$500="WARNING (3-14 Days)"), ROW(Company_Latest!$L$2:$L$500)-1), 42)), "")</f>
        <v/>
      </c>
      <c r="D51" s="9">
        <f>IFERROR(INDEX(Company_Latest!E$2:E$500, SMALL(IF((Company_Latest!$L$2:$L$500="OVERDUE (IDLE)")+(Company_Latest!$L$2:$L$500="WARNING (3-14 Days)"), ROW(Company_Latest!$L$2:$L$500)-1), 42)), "")</f>
        <v/>
      </c>
      <c r="E51" s="8">
        <f>IFERROR(INDEX(Company_Latest!G$2:G$500, SMALL(IF((Company_Latest!$L$2:$L$500="OVERDUE (IDLE)")+(Company_Latest!$L$2:$L$500="WARNING (3-14 Days)"), ROW(Company_Latest!$L$2:$L$500)-1), 42)), "")</f>
        <v/>
      </c>
      <c r="F51" s="8">
        <f>IFERROR(INDEX(Company_Latest!H$2:H$500, SMALL(IF((Company_Latest!$L$2:$L$500="OVERDUE (IDLE)")+(Company_Latest!$L$2:$L$500="WARNING (3-14 Days)"), ROW(Company_Latest!$L$2:$L$500)-1), 42)), "")</f>
        <v/>
      </c>
      <c r="G51" s="9">
        <f>IFERROR(INDEX(Company_Latest!K$2:K$500, SMALL(IF((Company_Latest!$L$2:$L$500="OVERDUE (IDLE)")+(Company_Latest!$L$2:$L$500="WARNING (3-14 Days)"), ROW(Company_Latest!$L$2:$L$500)-1), 42)), "")</f>
        <v/>
      </c>
      <c r="H51" s="8">
        <f>IFERROR(INDEX(Company_Latest!L$2:L$500, SMALL(IF((Company_Latest!$L$2:$L$500="OVERDUE (IDLE)")+(Company_Latest!$L$2:$L$500="WARNING (3-14 Days)"), ROW(Company_Latest!$L$2:$L$500)-1), 42)), "")</f>
        <v/>
      </c>
    </row>
    <row r="52">
      <c r="A52" s="8">
        <f>IF(B52&lt;&gt;"", 43, "")</f>
        <v/>
      </c>
      <c r="B52" s="9">
        <f>IFERROR(INDEX(Company_Latest!C$2:C$500, SMALL(IF((Company_Latest!$L$2:$L$500="OVERDUE (IDLE)")+(Company_Latest!$L$2:$L$500="WARNING (3-14 Days)"), ROW(Company_Latest!$L$2:$L$500)-1), 43)), "")</f>
        <v/>
      </c>
      <c r="C52" s="8">
        <f>IFERROR(INDEX(Company_Latest!D$2:D$500, SMALL(IF((Company_Latest!$L$2:$L$500="OVERDUE (IDLE)")+(Company_Latest!$L$2:$L$500="WARNING (3-14 Days)"), ROW(Company_Latest!$L$2:$L$500)-1), 43)), "")</f>
        <v/>
      </c>
      <c r="D52" s="9">
        <f>IFERROR(INDEX(Company_Latest!E$2:E$500, SMALL(IF((Company_Latest!$L$2:$L$500="OVERDUE (IDLE)")+(Company_Latest!$L$2:$L$500="WARNING (3-14 Days)"), ROW(Company_Latest!$L$2:$L$500)-1), 43)), "")</f>
        <v/>
      </c>
      <c r="E52" s="8">
        <f>IFERROR(INDEX(Company_Latest!G$2:G$500, SMALL(IF((Company_Latest!$L$2:$L$500="OVERDUE (IDLE)")+(Company_Latest!$L$2:$L$500="WARNING (3-14 Days)"), ROW(Company_Latest!$L$2:$L$500)-1), 43)), "")</f>
        <v/>
      </c>
      <c r="F52" s="8">
        <f>IFERROR(INDEX(Company_Latest!H$2:H$500, SMALL(IF((Company_Latest!$L$2:$L$500="OVERDUE (IDLE)")+(Company_Latest!$L$2:$L$500="WARNING (3-14 Days)"), ROW(Company_Latest!$L$2:$L$500)-1), 43)), "")</f>
        <v/>
      </c>
      <c r="G52" s="9">
        <f>IFERROR(INDEX(Company_Latest!K$2:K$500, SMALL(IF((Company_Latest!$L$2:$L$500="OVERDUE (IDLE)")+(Company_Latest!$L$2:$L$500="WARNING (3-14 Days)"), ROW(Company_Latest!$L$2:$L$500)-1), 43)), "")</f>
        <v/>
      </c>
      <c r="H52" s="8">
        <f>IFERROR(INDEX(Company_Latest!L$2:L$500, SMALL(IF((Company_Latest!$L$2:$L$500="OVERDUE (IDLE)")+(Company_Latest!$L$2:$L$500="WARNING (3-14 Days)"), ROW(Company_Latest!$L$2:$L$500)-1), 43)), "")</f>
        <v/>
      </c>
    </row>
    <row r="53">
      <c r="A53" s="8">
        <f>IF(B53&lt;&gt;"", 44, "")</f>
        <v/>
      </c>
      <c r="B53" s="9">
        <f>IFERROR(INDEX(Company_Latest!C$2:C$500, SMALL(IF((Company_Latest!$L$2:$L$500="OVERDUE (IDLE)")+(Company_Latest!$L$2:$L$500="WARNING (3-14 Days)"), ROW(Company_Latest!$L$2:$L$500)-1), 44)), "")</f>
        <v/>
      </c>
      <c r="C53" s="8">
        <f>IFERROR(INDEX(Company_Latest!D$2:D$500, SMALL(IF((Company_Latest!$L$2:$L$500="OVERDUE (IDLE)")+(Company_Latest!$L$2:$L$500="WARNING (3-14 Days)"), ROW(Company_Latest!$L$2:$L$500)-1), 44)), "")</f>
        <v/>
      </c>
      <c r="D53" s="9">
        <f>IFERROR(INDEX(Company_Latest!E$2:E$500, SMALL(IF((Company_Latest!$L$2:$L$500="OVERDUE (IDLE)")+(Company_Latest!$L$2:$L$500="WARNING (3-14 Days)"), ROW(Company_Latest!$L$2:$L$500)-1), 44)), "")</f>
        <v/>
      </c>
      <c r="E53" s="8">
        <f>IFERROR(INDEX(Company_Latest!G$2:G$500, SMALL(IF((Company_Latest!$L$2:$L$500="OVERDUE (IDLE)")+(Company_Latest!$L$2:$L$500="WARNING (3-14 Days)"), ROW(Company_Latest!$L$2:$L$500)-1), 44)), "")</f>
        <v/>
      </c>
      <c r="F53" s="8">
        <f>IFERROR(INDEX(Company_Latest!H$2:H$500, SMALL(IF((Company_Latest!$L$2:$L$500="OVERDUE (IDLE)")+(Company_Latest!$L$2:$L$500="WARNING (3-14 Days)"), ROW(Company_Latest!$L$2:$L$500)-1), 44)), "")</f>
        <v/>
      </c>
      <c r="G53" s="9">
        <f>IFERROR(INDEX(Company_Latest!K$2:K$500, SMALL(IF((Company_Latest!$L$2:$L$500="OVERDUE (IDLE)")+(Company_Latest!$L$2:$L$500="WARNING (3-14 Days)"), ROW(Company_Latest!$L$2:$L$500)-1), 44)), "")</f>
        <v/>
      </c>
      <c r="H53" s="8">
        <f>IFERROR(INDEX(Company_Latest!L$2:L$500, SMALL(IF((Company_Latest!$L$2:$L$500="OVERDUE (IDLE)")+(Company_Latest!$L$2:$L$500="WARNING (3-14 Days)"), ROW(Company_Latest!$L$2:$L$500)-1), 44)), "")</f>
        <v/>
      </c>
    </row>
    <row r="54">
      <c r="A54" s="8">
        <f>IF(B54&lt;&gt;"", 45, "")</f>
        <v/>
      </c>
      <c r="B54" s="9">
        <f>IFERROR(INDEX(Company_Latest!C$2:C$500, SMALL(IF((Company_Latest!$L$2:$L$500="OVERDUE (IDLE)")+(Company_Latest!$L$2:$L$500="WARNING (3-14 Days)"), ROW(Company_Latest!$L$2:$L$500)-1), 45)), "")</f>
        <v/>
      </c>
      <c r="C54" s="8">
        <f>IFERROR(INDEX(Company_Latest!D$2:D$500, SMALL(IF((Company_Latest!$L$2:$L$500="OVERDUE (IDLE)")+(Company_Latest!$L$2:$L$500="WARNING (3-14 Days)"), ROW(Company_Latest!$L$2:$L$500)-1), 45)), "")</f>
        <v/>
      </c>
      <c r="D54" s="9">
        <f>IFERROR(INDEX(Company_Latest!E$2:E$500, SMALL(IF((Company_Latest!$L$2:$L$500="OVERDUE (IDLE)")+(Company_Latest!$L$2:$L$500="WARNING (3-14 Days)"), ROW(Company_Latest!$L$2:$L$500)-1), 45)), "")</f>
        <v/>
      </c>
      <c r="E54" s="8">
        <f>IFERROR(INDEX(Company_Latest!G$2:G$500, SMALL(IF((Company_Latest!$L$2:$L$500="OVERDUE (IDLE)")+(Company_Latest!$L$2:$L$500="WARNING (3-14 Days)"), ROW(Company_Latest!$L$2:$L$500)-1), 45)), "")</f>
        <v/>
      </c>
      <c r="F54" s="8">
        <f>IFERROR(INDEX(Company_Latest!H$2:H$500, SMALL(IF((Company_Latest!$L$2:$L$500="OVERDUE (IDLE)")+(Company_Latest!$L$2:$L$500="WARNING (3-14 Days)"), ROW(Company_Latest!$L$2:$L$500)-1), 45)), "")</f>
        <v/>
      </c>
      <c r="G54" s="9">
        <f>IFERROR(INDEX(Company_Latest!K$2:K$500, SMALL(IF((Company_Latest!$L$2:$L$500="OVERDUE (IDLE)")+(Company_Latest!$L$2:$L$500="WARNING (3-14 Days)"), ROW(Company_Latest!$L$2:$L$500)-1), 45)), "")</f>
        <v/>
      </c>
      <c r="H54" s="8">
        <f>IFERROR(INDEX(Company_Latest!L$2:L$500, SMALL(IF((Company_Latest!$L$2:$L$500="OVERDUE (IDLE)")+(Company_Latest!$L$2:$L$500="WARNING (3-14 Days)"), ROW(Company_Latest!$L$2:$L$500)-1), 45)), "")</f>
        <v/>
      </c>
    </row>
    <row r="55">
      <c r="A55" s="8">
        <f>IF(B55&lt;&gt;"", 46, "")</f>
        <v/>
      </c>
      <c r="B55" s="9">
        <f>IFERROR(INDEX(Company_Latest!C$2:C$500, SMALL(IF((Company_Latest!$L$2:$L$500="OVERDUE (IDLE)")+(Company_Latest!$L$2:$L$500="WARNING (3-14 Days)"), ROW(Company_Latest!$L$2:$L$500)-1), 46)), "")</f>
        <v/>
      </c>
      <c r="C55" s="8">
        <f>IFERROR(INDEX(Company_Latest!D$2:D$500, SMALL(IF((Company_Latest!$L$2:$L$500="OVERDUE (IDLE)")+(Company_Latest!$L$2:$L$500="WARNING (3-14 Days)"), ROW(Company_Latest!$L$2:$L$500)-1), 46)), "")</f>
        <v/>
      </c>
      <c r="D55" s="9">
        <f>IFERROR(INDEX(Company_Latest!E$2:E$500, SMALL(IF((Company_Latest!$L$2:$L$500="OVERDUE (IDLE)")+(Company_Latest!$L$2:$L$500="WARNING (3-14 Days)"), ROW(Company_Latest!$L$2:$L$500)-1), 46)), "")</f>
        <v/>
      </c>
      <c r="E55" s="8">
        <f>IFERROR(INDEX(Company_Latest!G$2:G$500, SMALL(IF((Company_Latest!$L$2:$L$500="OVERDUE (IDLE)")+(Company_Latest!$L$2:$L$500="WARNING (3-14 Days)"), ROW(Company_Latest!$L$2:$L$500)-1), 46)), "")</f>
        <v/>
      </c>
      <c r="F55" s="8">
        <f>IFERROR(INDEX(Company_Latest!H$2:H$500, SMALL(IF((Company_Latest!$L$2:$L$500="OVERDUE (IDLE)")+(Company_Latest!$L$2:$L$500="WARNING (3-14 Days)"), ROW(Company_Latest!$L$2:$L$500)-1), 46)), "")</f>
        <v/>
      </c>
      <c r="G55" s="9">
        <f>IFERROR(INDEX(Company_Latest!K$2:K$500, SMALL(IF((Company_Latest!$L$2:$L$500="OVERDUE (IDLE)")+(Company_Latest!$L$2:$L$500="WARNING (3-14 Days)"), ROW(Company_Latest!$L$2:$L$500)-1), 46)), "")</f>
        <v/>
      </c>
      <c r="H55" s="8">
        <f>IFERROR(INDEX(Company_Latest!L$2:L$500, SMALL(IF((Company_Latest!$L$2:$L$500="OVERDUE (IDLE)")+(Company_Latest!$L$2:$L$500="WARNING (3-14 Days)"), ROW(Company_Latest!$L$2:$L$500)-1), 46)), "")</f>
        <v/>
      </c>
    </row>
    <row r="56">
      <c r="A56" s="8">
        <f>IF(B56&lt;&gt;"", 47, "")</f>
        <v/>
      </c>
      <c r="B56" s="9">
        <f>IFERROR(INDEX(Company_Latest!C$2:C$500, SMALL(IF((Company_Latest!$L$2:$L$500="OVERDUE (IDLE)")+(Company_Latest!$L$2:$L$500="WARNING (3-14 Days)"), ROW(Company_Latest!$L$2:$L$500)-1), 47)), "")</f>
        <v/>
      </c>
      <c r="C56" s="8">
        <f>IFERROR(INDEX(Company_Latest!D$2:D$500, SMALL(IF((Company_Latest!$L$2:$L$500="OVERDUE (IDLE)")+(Company_Latest!$L$2:$L$500="WARNING (3-14 Days)"), ROW(Company_Latest!$L$2:$L$500)-1), 47)), "")</f>
        <v/>
      </c>
      <c r="D56" s="9">
        <f>IFERROR(INDEX(Company_Latest!E$2:E$500, SMALL(IF((Company_Latest!$L$2:$L$500="OVERDUE (IDLE)")+(Company_Latest!$L$2:$L$500="WARNING (3-14 Days)"), ROW(Company_Latest!$L$2:$L$500)-1), 47)), "")</f>
        <v/>
      </c>
      <c r="E56" s="8">
        <f>IFERROR(INDEX(Company_Latest!G$2:G$500, SMALL(IF((Company_Latest!$L$2:$L$500="OVERDUE (IDLE)")+(Company_Latest!$L$2:$L$500="WARNING (3-14 Days)"), ROW(Company_Latest!$L$2:$L$500)-1), 47)), "")</f>
        <v/>
      </c>
      <c r="F56" s="8">
        <f>IFERROR(INDEX(Company_Latest!H$2:H$500, SMALL(IF((Company_Latest!$L$2:$L$500="OVERDUE (IDLE)")+(Company_Latest!$L$2:$L$500="WARNING (3-14 Days)"), ROW(Company_Latest!$L$2:$L$500)-1), 47)), "")</f>
        <v/>
      </c>
      <c r="G56" s="9">
        <f>IFERROR(INDEX(Company_Latest!K$2:K$500, SMALL(IF((Company_Latest!$L$2:$L$500="OVERDUE (IDLE)")+(Company_Latest!$L$2:$L$500="WARNING (3-14 Days)"), ROW(Company_Latest!$L$2:$L$500)-1), 47)), "")</f>
        <v/>
      </c>
      <c r="H56" s="8">
        <f>IFERROR(INDEX(Company_Latest!L$2:L$500, SMALL(IF((Company_Latest!$L$2:$L$500="OVERDUE (IDLE)")+(Company_Latest!$L$2:$L$500="WARNING (3-14 Days)"), ROW(Company_Latest!$L$2:$L$500)-1), 47)), "")</f>
        <v/>
      </c>
    </row>
    <row r="57">
      <c r="A57" s="8">
        <f>IF(B57&lt;&gt;"", 48, "")</f>
        <v/>
      </c>
      <c r="B57" s="9">
        <f>IFERROR(INDEX(Company_Latest!C$2:C$500, SMALL(IF((Company_Latest!$L$2:$L$500="OVERDUE (IDLE)")+(Company_Latest!$L$2:$L$500="WARNING (3-14 Days)"), ROW(Company_Latest!$L$2:$L$500)-1), 48)), "")</f>
        <v/>
      </c>
      <c r="C57" s="8">
        <f>IFERROR(INDEX(Company_Latest!D$2:D$500, SMALL(IF((Company_Latest!$L$2:$L$500="OVERDUE (IDLE)")+(Company_Latest!$L$2:$L$500="WARNING (3-14 Days)"), ROW(Company_Latest!$L$2:$L$500)-1), 48)), "")</f>
        <v/>
      </c>
      <c r="D57" s="9">
        <f>IFERROR(INDEX(Company_Latest!E$2:E$500, SMALL(IF((Company_Latest!$L$2:$L$500="OVERDUE (IDLE)")+(Company_Latest!$L$2:$L$500="WARNING (3-14 Days)"), ROW(Company_Latest!$L$2:$L$500)-1), 48)), "")</f>
        <v/>
      </c>
      <c r="E57" s="8">
        <f>IFERROR(INDEX(Company_Latest!G$2:G$500, SMALL(IF((Company_Latest!$L$2:$L$500="OVERDUE (IDLE)")+(Company_Latest!$L$2:$L$500="WARNING (3-14 Days)"), ROW(Company_Latest!$L$2:$L$500)-1), 48)), "")</f>
        <v/>
      </c>
      <c r="F57" s="8">
        <f>IFERROR(INDEX(Company_Latest!H$2:H$500, SMALL(IF((Company_Latest!$L$2:$L$500="OVERDUE (IDLE)")+(Company_Latest!$L$2:$L$500="WARNING (3-14 Days)"), ROW(Company_Latest!$L$2:$L$500)-1), 48)), "")</f>
        <v/>
      </c>
      <c r="G57" s="9">
        <f>IFERROR(INDEX(Company_Latest!K$2:K$500, SMALL(IF((Company_Latest!$L$2:$L$500="OVERDUE (IDLE)")+(Company_Latest!$L$2:$L$500="WARNING (3-14 Days)"), ROW(Company_Latest!$L$2:$L$500)-1), 48)), "")</f>
        <v/>
      </c>
      <c r="H57" s="8">
        <f>IFERROR(INDEX(Company_Latest!L$2:L$500, SMALL(IF((Company_Latest!$L$2:$L$500="OVERDUE (IDLE)")+(Company_Latest!$L$2:$L$500="WARNING (3-14 Days)"), ROW(Company_Latest!$L$2:$L$500)-1), 48)), "")</f>
        <v/>
      </c>
    </row>
    <row r="58">
      <c r="A58" s="8">
        <f>IF(B58&lt;&gt;"", 49, "")</f>
        <v/>
      </c>
      <c r="B58" s="9">
        <f>IFERROR(INDEX(Company_Latest!C$2:C$500, SMALL(IF((Company_Latest!$L$2:$L$500="OVERDUE (IDLE)")+(Company_Latest!$L$2:$L$500="WARNING (3-14 Days)"), ROW(Company_Latest!$L$2:$L$500)-1), 49)), "")</f>
        <v/>
      </c>
      <c r="C58" s="8">
        <f>IFERROR(INDEX(Company_Latest!D$2:D$500, SMALL(IF((Company_Latest!$L$2:$L$500="OVERDUE (IDLE)")+(Company_Latest!$L$2:$L$500="WARNING (3-14 Days)"), ROW(Company_Latest!$L$2:$L$500)-1), 49)), "")</f>
        <v/>
      </c>
      <c r="D58" s="9">
        <f>IFERROR(INDEX(Company_Latest!E$2:E$500, SMALL(IF((Company_Latest!$L$2:$L$500="OVERDUE (IDLE)")+(Company_Latest!$L$2:$L$500="WARNING (3-14 Days)"), ROW(Company_Latest!$L$2:$L$500)-1), 49)), "")</f>
        <v/>
      </c>
      <c r="E58" s="8">
        <f>IFERROR(INDEX(Company_Latest!G$2:G$500, SMALL(IF((Company_Latest!$L$2:$L$500="OVERDUE (IDLE)")+(Company_Latest!$L$2:$L$500="WARNING (3-14 Days)"), ROW(Company_Latest!$L$2:$L$500)-1), 49)), "")</f>
        <v/>
      </c>
      <c r="F58" s="8">
        <f>IFERROR(INDEX(Company_Latest!H$2:H$500, SMALL(IF((Company_Latest!$L$2:$L$500="OVERDUE (IDLE)")+(Company_Latest!$L$2:$L$500="WARNING (3-14 Days)"), ROW(Company_Latest!$L$2:$L$500)-1), 49)), "")</f>
        <v/>
      </c>
      <c r="G58" s="9">
        <f>IFERROR(INDEX(Company_Latest!K$2:K$500, SMALL(IF((Company_Latest!$L$2:$L$500="OVERDUE (IDLE)")+(Company_Latest!$L$2:$L$500="WARNING (3-14 Days)"), ROW(Company_Latest!$L$2:$L$500)-1), 49)), "")</f>
        <v/>
      </c>
      <c r="H58" s="8">
        <f>IFERROR(INDEX(Company_Latest!L$2:L$500, SMALL(IF((Company_Latest!$L$2:$L$500="OVERDUE (IDLE)")+(Company_Latest!$L$2:$L$500="WARNING (3-14 Days)"), ROW(Company_Latest!$L$2:$L$500)-1), 49)), "")</f>
        <v/>
      </c>
    </row>
    <row r="59">
      <c r="A59" s="8">
        <f>IF(B59&lt;&gt;"", 50, "")</f>
        <v/>
      </c>
      <c r="B59" s="9">
        <f>IFERROR(INDEX(Company_Latest!C$2:C$500, SMALL(IF((Company_Latest!$L$2:$L$500="OVERDUE (IDLE)")+(Company_Latest!$L$2:$L$500="WARNING (3-14 Days)"), ROW(Company_Latest!$L$2:$L$500)-1), 50)), "")</f>
        <v/>
      </c>
      <c r="C59" s="8">
        <f>IFERROR(INDEX(Company_Latest!D$2:D$500, SMALL(IF((Company_Latest!$L$2:$L$500="OVERDUE (IDLE)")+(Company_Latest!$L$2:$L$500="WARNING (3-14 Days)"), ROW(Company_Latest!$L$2:$L$500)-1), 50)), "")</f>
        <v/>
      </c>
      <c r="D59" s="9">
        <f>IFERROR(INDEX(Company_Latest!E$2:E$500, SMALL(IF((Company_Latest!$L$2:$L$500="OVERDUE (IDLE)")+(Company_Latest!$L$2:$L$500="WARNING (3-14 Days)"), ROW(Company_Latest!$L$2:$L$500)-1), 50)), "")</f>
        <v/>
      </c>
      <c r="E59" s="8">
        <f>IFERROR(INDEX(Company_Latest!G$2:G$500, SMALL(IF((Company_Latest!$L$2:$L$500="OVERDUE (IDLE)")+(Company_Latest!$L$2:$L$500="WARNING (3-14 Days)"), ROW(Company_Latest!$L$2:$L$500)-1), 50)), "")</f>
        <v/>
      </c>
      <c r="F59" s="8">
        <f>IFERROR(INDEX(Company_Latest!H$2:H$500, SMALL(IF((Company_Latest!$L$2:$L$500="OVERDUE (IDLE)")+(Company_Latest!$L$2:$L$500="WARNING (3-14 Days)"), ROW(Company_Latest!$L$2:$L$500)-1), 50)), "")</f>
        <v/>
      </c>
      <c r="G59" s="9">
        <f>IFERROR(INDEX(Company_Latest!K$2:K$500, SMALL(IF((Company_Latest!$L$2:$L$500="OVERDUE (IDLE)")+(Company_Latest!$L$2:$L$500="WARNING (3-14 Days)"), ROW(Company_Latest!$L$2:$L$500)-1), 50)), "")</f>
        <v/>
      </c>
      <c r="H59" s="8">
        <f>IFERROR(INDEX(Company_Latest!L$2:L$500, SMALL(IF((Company_Latest!$L$2:$L$500="OVERDUE (IDLE)")+(Company_Latest!$L$2:$L$500="WARNING (3-14 Days)"), ROW(Company_Latest!$L$2:$L$500)-1), 50)), "")</f>
        <v/>
      </c>
    </row>
    <row r="60">
      <c r="A60" s="8">
        <f>IF(B60&lt;&gt;"", 51, "")</f>
        <v/>
      </c>
      <c r="B60" s="9">
        <f>IFERROR(INDEX(Company_Latest!C$2:C$500, SMALL(IF((Company_Latest!$L$2:$L$500="OVERDUE (IDLE)")+(Company_Latest!$L$2:$L$500="WARNING (3-14 Days)"), ROW(Company_Latest!$L$2:$L$500)-1), 51)), "")</f>
        <v/>
      </c>
      <c r="C60" s="8">
        <f>IFERROR(INDEX(Company_Latest!D$2:D$500, SMALL(IF((Company_Latest!$L$2:$L$500="OVERDUE (IDLE)")+(Company_Latest!$L$2:$L$500="WARNING (3-14 Days)"), ROW(Company_Latest!$L$2:$L$500)-1), 51)), "")</f>
        <v/>
      </c>
      <c r="D60" s="9">
        <f>IFERROR(INDEX(Company_Latest!E$2:E$500, SMALL(IF((Company_Latest!$L$2:$L$500="OVERDUE (IDLE)")+(Company_Latest!$L$2:$L$500="WARNING (3-14 Days)"), ROW(Company_Latest!$L$2:$L$500)-1), 51)), "")</f>
        <v/>
      </c>
      <c r="E60" s="8">
        <f>IFERROR(INDEX(Company_Latest!G$2:G$500, SMALL(IF((Company_Latest!$L$2:$L$500="OVERDUE (IDLE)")+(Company_Latest!$L$2:$L$500="WARNING (3-14 Days)"), ROW(Company_Latest!$L$2:$L$500)-1), 51)), "")</f>
        <v/>
      </c>
      <c r="F60" s="8">
        <f>IFERROR(INDEX(Company_Latest!H$2:H$500, SMALL(IF((Company_Latest!$L$2:$L$500="OVERDUE (IDLE)")+(Company_Latest!$L$2:$L$500="WARNING (3-14 Days)"), ROW(Company_Latest!$L$2:$L$500)-1), 51)), "")</f>
        <v/>
      </c>
      <c r="G60" s="9">
        <f>IFERROR(INDEX(Company_Latest!K$2:K$500, SMALL(IF((Company_Latest!$L$2:$L$500="OVERDUE (IDLE)")+(Company_Latest!$L$2:$L$500="WARNING (3-14 Days)"), ROW(Company_Latest!$L$2:$L$500)-1), 51)), "")</f>
        <v/>
      </c>
      <c r="H60" s="8">
        <f>IFERROR(INDEX(Company_Latest!L$2:L$500, SMALL(IF((Company_Latest!$L$2:$L$500="OVERDUE (IDLE)")+(Company_Latest!$L$2:$L$500="WARNING (3-14 Days)"), ROW(Company_Latest!$L$2:$L$500)-1), 51)), "")</f>
        <v/>
      </c>
    </row>
    <row r="61">
      <c r="A61" s="8">
        <f>IF(B61&lt;&gt;"", 52, "")</f>
        <v/>
      </c>
      <c r="B61" s="9">
        <f>IFERROR(INDEX(Company_Latest!C$2:C$500, SMALL(IF((Company_Latest!$L$2:$L$500="OVERDUE (IDLE)")+(Company_Latest!$L$2:$L$500="WARNING (3-14 Days)"), ROW(Company_Latest!$L$2:$L$500)-1), 52)), "")</f>
        <v/>
      </c>
      <c r="C61" s="8">
        <f>IFERROR(INDEX(Company_Latest!D$2:D$500, SMALL(IF((Company_Latest!$L$2:$L$500="OVERDUE (IDLE)")+(Company_Latest!$L$2:$L$500="WARNING (3-14 Days)"), ROW(Company_Latest!$L$2:$L$500)-1), 52)), "")</f>
        <v/>
      </c>
      <c r="D61" s="9">
        <f>IFERROR(INDEX(Company_Latest!E$2:E$500, SMALL(IF((Company_Latest!$L$2:$L$500="OVERDUE (IDLE)")+(Company_Latest!$L$2:$L$500="WARNING (3-14 Days)"), ROW(Company_Latest!$L$2:$L$500)-1), 52)), "")</f>
        <v/>
      </c>
      <c r="E61" s="8">
        <f>IFERROR(INDEX(Company_Latest!G$2:G$500, SMALL(IF((Company_Latest!$L$2:$L$500="OVERDUE (IDLE)")+(Company_Latest!$L$2:$L$500="WARNING (3-14 Days)"), ROW(Company_Latest!$L$2:$L$500)-1), 52)), "")</f>
        <v/>
      </c>
      <c r="F61" s="8">
        <f>IFERROR(INDEX(Company_Latest!H$2:H$500, SMALL(IF((Company_Latest!$L$2:$L$500="OVERDUE (IDLE)")+(Company_Latest!$L$2:$L$500="WARNING (3-14 Days)"), ROW(Company_Latest!$L$2:$L$500)-1), 52)), "")</f>
        <v/>
      </c>
      <c r="G61" s="9">
        <f>IFERROR(INDEX(Company_Latest!K$2:K$500, SMALL(IF((Company_Latest!$L$2:$L$500="OVERDUE (IDLE)")+(Company_Latest!$L$2:$L$500="WARNING (3-14 Days)"), ROW(Company_Latest!$L$2:$L$500)-1), 52)), "")</f>
        <v/>
      </c>
      <c r="H61" s="8">
        <f>IFERROR(INDEX(Company_Latest!L$2:L$500, SMALL(IF((Company_Latest!$L$2:$L$500="OVERDUE (IDLE)")+(Company_Latest!$L$2:$L$500="WARNING (3-14 Days)"), ROW(Company_Latest!$L$2:$L$500)-1), 52)), "")</f>
        <v/>
      </c>
    </row>
    <row r="62">
      <c r="A62" s="8">
        <f>IF(B62&lt;&gt;"", 53, "")</f>
        <v/>
      </c>
      <c r="B62" s="9">
        <f>IFERROR(INDEX(Company_Latest!C$2:C$500, SMALL(IF((Company_Latest!$L$2:$L$500="OVERDUE (IDLE)")+(Company_Latest!$L$2:$L$500="WARNING (3-14 Days)"), ROW(Company_Latest!$L$2:$L$500)-1), 53)), "")</f>
        <v/>
      </c>
      <c r="C62" s="8">
        <f>IFERROR(INDEX(Company_Latest!D$2:D$500, SMALL(IF((Company_Latest!$L$2:$L$500="OVERDUE (IDLE)")+(Company_Latest!$L$2:$L$500="WARNING (3-14 Days)"), ROW(Company_Latest!$L$2:$L$500)-1), 53)), "")</f>
        <v/>
      </c>
      <c r="D62" s="9">
        <f>IFERROR(INDEX(Company_Latest!E$2:E$500, SMALL(IF((Company_Latest!$L$2:$L$500="OVERDUE (IDLE)")+(Company_Latest!$L$2:$L$500="WARNING (3-14 Days)"), ROW(Company_Latest!$L$2:$L$500)-1), 53)), "")</f>
        <v/>
      </c>
      <c r="E62" s="8">
        <f>IFERROR(INDEX(Company_Latest!G$2:G$500, SMALL(IF((Company_Latest!$L$2:$L$500="OVERDUE (IDLE)")+(Company_Latest!$L$2:$L$500="WARNING (3-14 Days)"), ROW(Company_Latest!$L$2:$L$500)-1), 53)), "")</f>
        <v/>
      </c>
      <c r="F62" s="8">
        <f>IFERROR(INDEX(Company_Latest!H$2:H$500, SMALL(IF((Company_Latest!$L$2:$L$500="OVERDUE (IDLE)")+(Company_Latest!$L$2:$L$500="WARNING (3-14 Days)"), ROW(Company_Latest!$L$2:$L$500)-1), 53)), "")</f>
        <v/>
      </c>
      <c r="G62" s="9">
        <f>IFERROR(INDEX(Company_Latest!K$2:K$500, SMALL(IF((Company_Latest!$L$2:$L$500="OVERDUE (IDLE)")+(Company_Latest!$L$2:$L$500="WARNING (3-14 Days)"), ROW(Company_Latest!$L$2:$L$500)-1), 53)), "")</f>
        <v/>
      </c>
      <c r="H62" s="8">
        <f>IFERROR(INDEX(Company_Latest!L$2:L$500, SMALL(IF((Company_Latest!$L$2:$L$500="OVERDUE (IDLE)")+(Company_Latest!$L$2:$L$500="WARNING (3-14 Days)"), ROW(Company_Latest!$L$2:$L$500)-1), 53)), "")</f>
        <v/>
      </c>
    </row>
    <row r="63">
      <c r="A63" s="8">
        <f>IF(B63&lt;&gt;"", 54, "")</f>
        <v/>
      </c>
      <c r="B63" s="9">
        <f>IFERROR(INDEX(Company_Latest!C$2:C$500, SMALL(IF((Company_Latest!$L$2:$L$500="OVERDUE (IDLE)")+(Company_Latest!$L$2:$L$500="WARNING (3-14 Days)"), ROW(Company_Latest!$L$2:$L$500)-1), 54)), "")</f>
        <v/>
      </c>
      <c r="C63" s="8">
        <f>IFERROR(INDEX(Company_Latest!D$2:D$500, SMALL(IF((Company_Latest!$L$2:$L$500="OVERDUE (IDLE)")+(Company_Latest!$L$2:$L$500="WARNING (3-14 Days)"), ROW(Company_Latest!$L$2:$L$500)-1), 54)), "")</f>
        <v/>
      </c>
      <c r="D63" s="9">
        <f>IFERROR(INDEX(Company_Latest!E$2:E$500, SMALL(IF((Company_Latest!$L$2:$L$500="OVERDUE (IDLE)")+(Company_Latest!$L$2:$L$500="WARNING (3-14 Days)"), ROW(Company_Latest!$L$2:$L$500)-1), 54)), "")</f>
        <v/>
      </c>
      <c r="E63" s="8">
        <f>IFERROR(INDEX(Company_Latest!G$2:G$500, SMALL(IF((Company_Latest!$L$2:$L$500="OVERDUE (IDLE)")+(Company_Latest!$L$2:$L$500="WARNING (3-14 Days)"), ROW(Company_Latest!$L$2:$L$500)-1), 54)), "")</f>
        <v/>
      </c>
      <c r="F63" s="8">
        <f>IFERROR(INDEX(Company_Latest!H$2:H$500, SMALL(IF((Company_Latest!$L$2:$L$500="OVERDUE (IDLE)")+(Company_Latest!$L$2:$L$500="WARNING (3-14 Days)"), ROW(Company_Latest!$L$2:$L$500)-1), 54)), "")</f>
        <v/>
      </c>
      <c r="G63" s="9">
        <f>IFERROR(INDEX(Company_Latest!K$2:K$500, SMALL(IF((Company_Latest!$L$2:$L$500="OVERDUE (IDLE)")+(Company_Latest!$L$2:$L$500="WARNING (3-14 Days)"), ROW(Company_Latest!$L$2:$L$500)-1), 54)), "")</f>
        <v/>
      </c>
      <c r="H63" s="8">
        <f>IFERROR(INDEX(Company_Latest!L$2:L$500, SMALL(IF((Company_Latest!$L$2:$L$500="OVERDUE (IDLE)")+(Company_Latest!$L$2:$L$500="WARNING (3-14 Days)"), ROW(Company_Latest!$L$2:$L$500)-1), 54)), "")</f>
        <v/>
      </c>
    </row>
    <row r="64">
      <c r="A64" s="8">
        <f>IF(B64&lt;&gt;"", 55, "")</f>
        <v/>
      </c>
      <c r="B64" s="9">
        <f>IFERROR(INDEX(Company_Latest!C$2:C$500, SMALL(IF((Company_Latest!$L$2:$L$500="OVERDUE (IDLE)")+(Company_Latest!$L$2:$L$500="WARNING (3-14 Days)"), ROW(Company_Latest!$L$2:$L$500)-1), 55)), "")</f>
        <v/>
      </c>
      <c r="C64" s="8">
        <f>IFERROR(INDEX(Company_Latest!D$2:D$500, SMALL(IF((Company_Latest!$L$2:$L$500="OVERDUE (IDLE)")+(Company_Latest!$L$2:$L$500="WARNING (3-14 Days)"), ROW(Company_Latest!$L$2:$L$500)-1), 55)), "")</f>
        <v/>
      </c>
      <c r="D64" s="9">
        <f>IFERROR(INDEX(Company_Latest!E$2:E$500, SMALL(IF((Company_Latest!$L$2:$L$500="OVERDUE (IDLE)")+(Company_Latest!$L$2:$L$500="WARNING (3-14 Days)"), ROW(Company_Latest!$L$2:$L$500)-1), 55)), "")</f>
        <v/>
      </c>
      <c r="E64" s="8">
        <f>IFERROR(INDEX(Company_Latest!G$2:G$500, SMALL(IF((Company_Latest!$L$2:$L$500="OVERDUE (IDLE)")+(Company_Latest!$L$2:$L$500="WARNING (3-14 Days)"), ROW(Company_Latest!$L$2:$L$500)-1), 55)), "")</f>
        <v/>
      </c>
      <c r="F64" s="8">
        <f>IFERROR(INDEX(Company_Latest!H$2:H$500, SMALL(IF((Company_Latest!$L$2:$L$500="OVERDUE (IDLE)")+(Company_Latest!$L$2:$L$500="WARNING (3-14 Days)"), ROW(Company_Latest!$L$2:$L$500)-1), 55)), "")</f>
        <v/>
      </c>
      <c r="G64" s="9">
        <f>IFERROR(INDEX(Company_Latest!K$2:K$500, SMALL(IF((Company_Latest!$L$2:$L$500="OVERDUE (IDLE)")+(Company_Latest!$L$2:$L$500="WARNING (3-14 Days)"), ROW(Company_Latest!$L$2:$L$500)-1), 55)), "")</f>
        <v/>
      </c>
      <c r="H64" s="8">
        <f>IFERROR(INDEX(Company_Latest!L$2:L$500, SMALL(IF((Company_Latest!$L$2:$L$500="OVERDUE (IDLE)")+(Company_Latest!$L$2:$L$500="WARNING (3-14 Days)"), ROW(Company_Latest!$L$2:$L$500)-1), 55)), "")</f>
        <v/>
      </c>
    </row>
    <row r="65">
      <c r="A65" s="8">
        <f>IF(B65&lt;&gt;"", 56, "")</f>
        <v/>
      </c>
      <c r="B65" s="9">
        <f>IFERROR(INDEX(Company_Latest!C$2:C$500, SMALL(IF((Company_Latest!$L$2:$L$500="OVERDUE (IDLE)")+(Company_Latest!$L$2:$L$500="WARNING (3-14 Days)"), ROW(Company_Latest!$L$2:$L$500)-1), 56)), "")</f>
        <v/>
      </c>
      <c r="C65" s="8">
        <f>IFERROR(INDEX(Company_Latest!D$2:D$500, SMALL(IF((Company_Latest!$L$2:$L$500="OVERDUE (IDLE)")+(Company_Latest!$L$2:$L$500="WARNING (3-14 Days)"), ROW(Company_Latest!$L$2:$L$500)-1), 56)), "")</f>
        <v/>
      </c>
      <c r="D65" s="9">
        <f>IFERROR(INDEX(Company_Latest!E$2:E$500, SMALL(IF((Company_Latest!$L$2:$L$500="OVERDUE (IDLE)")+(Company_Latest!$L$2:$L$500="WARNING (3-14 Days)"), ROW(Company_Latest!$L$2:$L$500)-1), 56)), "")</f>
        <v/>
      </c>
      <c r="E65" s="8">
        <f>IFERROR(INDEX(Company_Latest!G$2:G$500, SMALL(IF((Company_Latest!$L$2:$L$500="OVERDUE (IDLE)")+(Company_Latest!$L$2:$L$500="WARNING (3-14 Days)"), ROW(Company_Latest!$L$2:$L$500)-1), 56)), "")</f>
        <v/>
      </c>
      <c r="F65" s="8">
        <f>IFERROR(INDEX(Company_Latest!H$2:H$500, SMALL(IF((Company_Latest!$L$2:$L$500="OVERDUE (IDLE)")+(Company_Latest!$L$2:$L$500="WARNING (3-14 Days)"), ROW(Company_Latest!$L$2:$L$500)-1), 56)), "")</f>
        <v/>
      </c>
      <c r="G65" s="9">
        <f>IFERROR(INDEX(Company_Latest!K$2:K$500, SMALL(IF((Company_Latest!$L$2:$L$500="OVERDUE (IDLE)")+(Company_Latest!$L$2:$L$500="WARNING (3-14 Days)"), ROW(Company_Latest!$L$2:$L$500)-1), 56)), "")</f>
        <v/>
      </c>
      <c r="H65" s="8">
        <f>IFERROR(INDEX(Company_Latest!L$2:L$500, SMALL(IF((Company_Latest!$L$2:$L$500="OVERDUE (IDLE)")+(Company_Latest!$L$2:$L$500="WARNING (3-14 Days)"), ROW(Company_Latest!$L$2:$L$500)-1), 56)), "")</f>
        <v/>
      </c>
    </row>
    <row r="66">
      <c r="A66" s="8">
        <f>IF(B66&lt;&gt;"", 57, "")</f>
        <v/>
      </c>
      <c r="B66" s="9">
        <f>IFERROR(INDEX(Company_Latest!C$2:C$500, SMALL(IF((Company_Latest!$L$2:$L$500="OVERDUE (IDLE)")+(Company_Latest!$L$2:$L$500="WARNING (3-14 Days)"), ROW(Company_Latest!$L$2:$L$500)-1), 57)), "")</f>
        <v/>
      </c>
      <c r="C66" s="8">
        <f>IFERROR(INDEX(Company_Latest!D$2:D$500, SMALL(IF((Company_Latest!$L$2:$L$500="OVERDUE (IDLE)")+(Company_Latest!$L$2:$L$500="WARNING (3-14 Days)"), ROW(Company_Latest!$L$2:$L$500)-1), 57)), "")</f>
        <v/>
      </c>
      <c r="D66" s="9">
        <f>IFERROR(INDEX(Company_Latest!E$2:E$500, SMALL(IF((Company_Latest!$L$2:$L$500="OVERDUE (IDLE)")+(Company_Latest!$L$2:$L$500="WARNING (3-14 Days)"), ROW(Company_Latest!$L$2:$L$500)-1), 57)), "")</f>
        <v/>
      </c>
      <c r="E66" s="8">
        <f>IFERROR(INDEX(Company_Latest!G$2:G$500, SMALL(IF((Company_Latest!$L$2:$L$500="OVERDUE (IDLE)")+(Company_Latest!$L$2:$L$500="WARNING (3-14 Days)"), ROW(Company_Latest!$L$2:$L$500)-1), 57)), "")</f>
        <v/>
      </c>
      <c r="F66" s="8">
        <f>IFERROR(INDEX(Company_Latest!H$2:H$500, SMALL(IF((Company_Latest!$L$2:$L$500="OVERDUE (IDLE)")+(Company_Latest!$L$2:$L$500="WARNING (3-14 Days)"), ROW(Company_Latest!$L$2:$L$500)-1), 57)), "")</f>
        <v/>
      </c>
      <c r="G66" s="9">
        <f>IFERROR(INDEX(Company_Latest!K$2:K$500, SMALL(IF((Company_Latest!$L$2:$L$500="OVERDUE (IDLE)")+(Company_Latest!$L$2:$L$500="WARNING (3-14 Days)"), ROW(Company_Latest!$L$2:$L$500)-1), 57)), "")</f>
        <v/>
      </c>
      <c r="H66" s="8">
        <f>IFERROR(INDEX(Company_Latest!L$2:L$500, SMALL(IF((Company_Latest!$L$2:$L$500="OVERDUE (IDLE)")+(Company_Latest!$L$2:$L$500="WARNING (3-14 Days)"), ROW(Company_Latest!$L$2:$L$500)-1), 57)), "")</f>
        <v/>
      </c>
    </row>
    <row r="67">
      <c r="A67" s="8">
        <f>IF(B67&lt;&gt;"", 58, "")</f>
        <v/>
      </c>
      <c r="B67" s="9">
        <f>IFERROR(INDEX(Company_Latest!C$2:C$500, SMALL(IF((Company_Latest!$L$2:$L$500="OVERDUE (IDLE)")+(Company_Latest!$L$2:$L$500="WARNING (3-14 Days)"), ROW(Company_Latest!$L$2:$L$500)-1), 58)), "")</f>
        <v/>
      </c>
      <c r="C67" s="8">
        <f>IFERROR(INDEX(Company_Latest!D$2:D$500, SMALL(IF((Company_Latest!$L$2:$L$500="OVERDUE (IDLE)")+(Company_Latest!$L$2:$L$500="WARNING (3-14 Days)"), ROW(Company_Latest!$L$2:$L$500)-1), 58)), "")</f>
        <v/>
      </c>
      <c r="D67" s="9">
        <f>IFERROR(INDEX(Company_Latest!E$2:E$500, SMALL(IF((Company_Latest!$L$2:$L$500="OVERDUE (IDLE)")+(Company_Latest!$L$2:$L$500="WARNING (3-14 Days)"), ROW(Company_Latest!$L$2:$L$500)-1), 58)), "")</f>
        <v/>
      </c>
      <c r="E67" s="8">
        <f>IFERROR(INDEX(Company_Latest!G$2:G$500, SMALL(IF((Company_Latest!$L$2:$L$500="OVERDUE (IDLE)")+(Company_Latest!$L$2:$L$500="WARNING (3-14 Days)"), ROW(Company_Latest!$L$2:$L$500)-1), 58)), "")</f>
        <v/>
      </c>
      <c r="F67" s="8">
        <f>IFERROR(INDEX(Company_Latest!H$2:H$500, SMALL(IF((Company_Latest!$L$2:$L$500="OVERDUE (IDLE)")+(Company_Latest!$L$2:$L$500="WARNING (3-14 Days)"), ROW(Company_Latest!$L$2:$L$500)-1), 58)), "")</f>
        <v/>
      </c>
      <c r="G67" s="9">
        <f>IFERROR(INDEX(Company_Latest!K$2:K$500, SMALL(IF((Company_Latest!$L$2:$L$500="OVERDUE (IDLE)")+(Company_Latest!$L$2:$L$500="WARNING (3-14 Days)"), ROW(Company_Latest!$L$2:$L$500)-1), 58)), "")</f>
        <v/>
      </c>
      <c r="H67" s="8">
        <f>IFERROR(INDEX(Company_Latest!L$2:L$500, SMALL(IF((Company_Latest!$L$2:$L$500="OVERDUE (IDLE)")+(Company_Latest!$L$2:$L$500="WARNING (3-14 Days)"), ROW(Company_Latest!$L$2:$L$500)-1), 58)), "")</f>
        <v/>
      </c>
    </row>
    <row r="68">
      <c r="A68" s="8">
        <f>IF(B68&lt;&gt;"", 59, "")</f>
        <v/>
      </c>
      <c r="B68" s="9">
        <f>IFERROR(INDEX(Company_Latest!C$2:C$500, SMALL(IF((Company_Latest!$L$2:$L$500="OVERDUE (IDLE)")+(Company_Latest!$L$2:$L$500="WARNING (3-14 Days)"), ROW(Company_Latest!$L$2:$L$500)-1), 59)), "")</f>
        <v/>
      </c>
      <c r="C68" s="8">
        <f>IFERROR(INDEX(Company_Latest!D$2:D$500, SMALL(IF((Company_Latest!$L$2:$L$500="OVERDUE (IDLE)")+(Company_Latest!$L$2:$L$500="WARNING (3-14 Days)"), ROW(Company_Latest!$L$2:$L$500)-1), 59)), "")</f>
        <v/>
      </c>
      <c r="D68" s="9">
        <f>IFERROR(INDEX(Company_Latest!E$2:E$500, SMALL(IF((Company_Latest!$L$2:$L$500="OVERDUE (IDLE)")+(Company_Latest!$L$2:$L$500="WARNING (3-14 Days)"), ROW(Company_Latest!$L$2:$L$500)-1), 59)), "")</f>
        <v/>
      </c>
      <c r="E68" s="8">
        <f>IFERROR(INDEX(Company_Latest!G$2:G$500, SMALL(IF((Company_Latest!$L$2:$L$500="OVERDUE (IDLE)")+(Company_Latest!$L$2:$L$500="WARNING (3-14 Days)"), ROW(Company_Latest!$L$2:$L$500)-1), 59)), "")</f>
        <v/>
      </c>
      <c r="F68" s="8">
        <f>IFERROR(INDEX(Company_Latest!H$2:H$500, SMALL(IF((Company_Latest!$L$2:$L$500="OVERDUE (IDLE)")+(Company_Latest!$L$2:$L$500="WARNING (3-14 Days)"), ROW(Company_Latest!$L$2:$L$500)-1), 59)), "")</f>
        <v/>
      </c>
      <c r="G68" s="9">
        <f>IFERROR(INDEX(Company_Latest!K$2:K$500, SMALL(IF((Company_Latest!$L$2:$L$500="OVERDUE (IDLE)")+(Company_Latest!$L$2:$L$500="WARNING (3-14 Days)"), ROW(Company_Latest!$L$2:$L$500)-1), 59)), "")</f>
        <v/>
      </c>
      <c r="H68" s="8">
        <f>IFERROR(INDEX(Company_Latest!L$2:L$500, SMALL(IF((Company_Latest!$L$2:$L$500="OVERDUE (IDLE)")+(Company_Latest!$L$2:$L$500="WARNING (3-14 Days)"), ROW(Company_Latest!$L$2:$L$500)-1), 59)), "")</f>
        <v/>
      </c>
    </row>
    <row r="69">
      <c r="A69" s="8">
        <f>IF(B69&lt;&gt;"", 60, "")</f>
        <v/>
      </c>
      <c r="B69" s="9">
        <f>IFERROR(INDEX(Company_Latest!C$2:C$500, SMALL(IF((Company_Latest!$L$2:$L$500="OVERDUE (IDLE)")+(Company_Latest!$L$2:$L$500="WARNING (3-14 Days)"), ROW(Company_Latest!$L$2:$L$500)-1), 60)), "")</f>
        <v/>
      </c>
      <c r="C69" s="8">
        <f>IFERROR(INDEX(Company_Latest!D$2:D$500, SMALL(IF((Company_Latest!$L$2:$L$500="OVERDUE (IDLE)")+(Company_Latest!$L$2:$L$500="WARNING (3-14 Days)"), ROW(Company_Latest!$L$2:$L$500)-1), 60)), "")</f>
        <v/>
      </c>
      <c r="D69" s="9">
        <f>IFERROR(INDEX(Company_Latest!E$2:E$500, SMALL(IF((Company_Latest!$L$2:$L$500="OVERDUE (IDLE)")+(Company_Latest!$L$2:$L$500="WARNING (3-14 Days)"), ROW(Company_Latest!$L$2:$L$500)-1), 60)), "")</f>
        <v/>
      </c>
      <c r="E69" s="8">
        <f>IFERROR(INDEX(Company_Latest!G$2:G$500, SMALL(IF((Company_Latest!$L$2:$L$500="OVERDUE (IDLE)")+(Company_Latest!$L$2:$L$500="WARNING (3-14 Days)"), ROW(Company_Latest!$L$2:$L$500)-1), 60)), "")</f>
        <v/>
      </c>
      <c r="F69" s="8">
        <f>IFERROR(INDEX(Company_Latest!H$2:H$500, SMALL(IF((Company_Latest!$L$2:$L$500="OVERDUE (IDLE)")+(Company_Latest!$L$2:$L$500="WARNING (3-14 Days)"), ROW(Company_Latest!$L$2:$L$500)-1), 60)), "")</f>
        <v/>
      </c>
      <c r="G69" s="9">
        <f>IFERROR(INDEX(Company_Latest!K$2:K$500, SMALL(IF((Company_Latest!$L$2:$L$500="OVERDUE (IDLE)")+(Company_Latest!$L$2:$L$500="WARNING (3-14 Days)"), ROW(Company_Latest!$L$2:$L$500)-1), 60)), "")</f>
        <v/>
      </c>
      <c r="H69" s="8">
        <f>IFERROR(INDEX(Company_Latest!L$2:L$500, SMALL(IF((Company_Latest!$L$2:$L$500="OVERDUE (IDLE)")+(Company_Latest!$L$2:$L$500="WARNING (3-14 Days)"), ROW(Company_Latest!$L$2:$L$500)-1), 60)), "")</f>
        <v/>
      </c>
    </row>
    <row r="70">
      <c r="A70" s="8">
        <f>IF(B70&lt;&gt;"", 61, "")</f>
        <v/>
      </c>
      <c r="B70" s="9">
        <f>IFERROR(INDEX(Company_Latest!C$2:C$500, SMALL(IF((Company_Latest!$L$2:$L$500="OVERDUE (IDLE)")+(Company_Latest!$L$2:$L$500="WARNING (3-14 Days)"), ROW(Company_Latest!$L$2:$L$500)-1), 61)), "")</f>
        <v/>
      </c>
      <c r="C70" s="8">
        <f>IFERROR(INDEX(Company_Latest!D$2:D$500, SMALL(IF((Company_Latest!$L$2:$L$500="OVERDUE (IDLE)")+(Company_Latest!$L$2:$L$500="WARNING (3-14 Days)"), ROW(Company_Latest!$L$2:$L$500)-1), 61)), "")</f>
        <v/>
      </c>
      <c r="D70" s="9">
        <f>IFERROR(INDEX(Company_Latest!E$2:E$500, SMALL(IF((Company_Latest!$L$2:$L$500="OVERDUE (IDLE)")+(Company_Latest!$L$2:$L$500="WARNING (3-14 Days)"), ROW(Company_Latest!$L$2:$L$500)-1), 61)), "")</f>
        <v/>
      </c>
      <c r="E70" s="8">
        <f>IFERROR(INDEX(Company_Latest!G$2:G$500, SMALL(IF((Company_Latest!$L$2:$L$500="OVERDUE (IDLE)")+(Company_Latest!$L$2:$L$500="WARNING (3-14 Days)"), ROW(Company_Latest!$L$2:$L$500)-1), 61)), "")</f>
        <v/>
      </c>
      <c r="F70" s="8">
        <f>IFERROR(INDEX(Company_Latest!H$2:H$500, SMALL(IF((Company_Latest!$L$2:$L$500="OVERDUE (IDLE)")+(Company_Latest!$L$2:$L$500="WARNING (3-14 Days)"), ROW(Company_Latest!$L$2:$L$500)-1), 61)), "")</f>
        <v/>
      </c>
      <c r="G70" s="9">
        <f>IFERROR(INDEX(Company_Latest!K$2:K$500, SMALL(IF((Company_Latest!$L$2:$L$500="OVERDUE (IDLE)")+(Company_Latest!$L$2:$L$500="WARNING (3-14 Days)"), ROW(Company_Latest!$L$2:$L$500)-1), 61)), "")</f>
        <v/>
      </c>
      <c r="H70" s="8">
        <f>IFERROR(INDEX(Company_Latest!L$2:L$500, SMALL(IF((Company_Latest!$L$2:$L$500="OVERDUE (IDLE)")+(Company_Latest!$L$2:$L$500="WARNING (3-14 Days)"), ROW(Company_Latest!$L$2:$L$500)-1), 61)), "")</f>
        <v/>
      </c>
    </row>
    <row r="71">
      <c r="A71" s="8">
        <f>IF(B71&lt;&gt;"", 62, "")</f>
        <v/>
      </c>
      <c r="B71" s="9">
        <f>IFERROR(INDEX(Company_Latest!C$2:C$500, SMALL(IF((Company_Latest!$L$2:$L$500="OVERDUE (IDLE)")+(Company_Latest!$L$2:$L$500="WARNING (3-14 Days)"), ROW(Company_Latest!$L$2:$L$500)-1), 62)), "")</f>
        <v/>
      </c>
      <c r="C71" s="8">
        <f>IFERROR(INDEX(Company_Latest!D$2:D$500, SMALL(IF((Company_Latest!$L$2:$L$500="OVERDUE (IDLE)")+(Company_Latest!$L$2:$L$500="WARNING (3-14 Days)"), ROW(Company_Latest!$L$2:$L$500)-1), 62)), "")</f>
        <v/>
      </c>
      <c r="D71" s="9">
        <f>IFERROR(INDEX(Company_Latest!E$2:E$500, SMALL(IF((Company_Latest!$L$2:$L$500="OVERDUE (IDLE)")+(Company_Latest!$L$2:$L$500="WARNING (3-14 Days)"), ROW(Company_Latest!$L$2:$L$500)-1), 62)), "")</f>
        <v/>
      </c>
      <c r="E71" s="8">
        <f>IFERROR(INDEX(Company_Latest!G$2:G$500, SMALL(IF((Company_Latest!$L$2:$L$500="OVERDUE (IDLE)")+(Company_Latest!$L$2:$L$500="WARNING (3-14 Days)"), ROW(Company_Latest!$L$2:$L$500)-1), 62)), "")</f>
        <v/>
      </c>
      <c r="F71" s="8">
        <f>IFERROR(INDEX(Company_Latest!H$2:H$500, SMALL(IF((Company_Latest!$L$2:$L$500="OVERDUE (IDLE)")+(Company_Latest!$L$2:$L$500="WARNING (3-14 Days)"), ROW(Company_Latest!$L$2:$L$500)-1), 62)), "")</f>
        <v/>
      </c>
      <c r="G71" s="9">
        <f>IFERROR(INDEX(Company_Latest!K$2:K$500, SMALL(IF((Company_Latest!$L$2:$L$500="OVERDUE (IDLE)")+(Company_Latest!$L$2:$L$500="WARNING (3-14 Days)"), ROW(Company_Latest!$L$2:$L$500)-1), 62)), "")</f>
        <v/>
      </c>
      <c r="H71" s="8">
        <f>IFERROR(INDEX(Company_Latest!L$2:L$500, SMALL(IF((Company_Latest!$L$2:$L$500="OVERDUE (IDLE)")+(Company_Latest!$L$2:$L$500="WARNING (3-14 Days)"), ROW(Company_Latest!$L$2:$L$500)-1), 62)), "")</f>
        <v/>
      </c>
    </row>
    <row r="72">
      <c r="A72" s="8">
        <f>IF(B72&lt;&gt;"", 63, "")</f>
        <v/>
      </c>
      <c r="B72" s="9">
        <f>IFERROR(INDEX(Company_Latest!C$2:C$500, SMALL(IF((Company_Latest!$L$2:$L$500="OVERDUE (IDLE)")+(Company_Latest!$L$2:$L$500="WARNING (3-14 Days)"), ROW(Company_Latest!$L$2:$L$500)-1), 63)), "")</f>
        <v/>
      </c>
      <c r="C72" s="8">
        <f>IFERROR(INDEX(Company_Latest!D$2:D$500, SMALL(IF((Company_Latest!$L$2:$L$500="OVERDUE (IDLE)")+(Company_Latest!$L$2:$L$500="WARNING (3-14 Days)"), ROW(Company_Latest!$L$2:$L$500)-1), 63)), "")</f>
        <v/>
      </c>
      <c r="D72" s="9">
        <f>IFERROR(INDEX(Company_Latest!E$2:E$500, SMALL(IF((Company_Latest!$L$2:$L$500="OVERDUE (IDLE)")+(Company_Latest!$L$2:$L$500="WARNING (3-14 Days)"), ROW(Company_Latest!$L$2:$L$500)-1), 63)), "")</f>
        <v/>
      </c>
      <c r="E72" s="8">
        <f>IFERROR(INDEX(Company_Latest!G$2:G$500, SMALL(IF((Company_Latest!$L$2:$L$500="OVERDUE (IDLE)")+(Company_Latest!$L$2:$L$500="WARNING (3-14 Days)"), ROW(Company_Latest!$L$2:$L$500)-1), 63)), "")</f>
        <v/>
      </c>
      <c r="F72" s="8">
        <f>IFERROR(INDEX(Company_Latest!H$2:H$500, SMALL(IF((Company_Latest!$L$2:$L$500="OVERDUE (IDLE)")+(Company_Latest!$L$2:$L$500="WARNING (3-14 Days)"), ROW(Company_Latest!$L$2:$L$500)-1), 63)), "")</f>
        <v/>
      </c>
      <c r="G72" s="9">
        <f>IFERROR(INDEX(Company_Latest!K$2:K$500, SMALL(IF((Company_Latest!$L$2:$L$500="OVERDUE (IDLE)")+(Company_Latest!$L$2:$L$500="WARNING (3-14 Days)"), ROW(Company_Latest!$L$2:$L$500)-1), 63)), "")</f>
        <v/>
      </c>
      <c r="H72" s="8">
        <f>IFERROR(INDEX(Company_Latest!L$2:L$500, SMALL(IF((Company_Latest!$L$2:$L$500="OVERDUE (IDLE)")+(Company_Latest!$L$2:$L$500="WARNING (3-14 Days)"), ROW(Company_Latest!$L$2:$L$500)-1), 63)), "")</f>
        <v/>
      </c>
    </row>
    <row r="73">
      <c r="A73" s="8">
        <f>IF(B73&lt;&gt;"", 64, "")</f>
        <v/>
      </c>
      <c r="B73" s="9">
        <f>IFERROR(INDEX(Company_Latest!C$2:C$500, SMALL(IF((Company_Latest!$L$2:$L$500="OVERDUE (IDLE)")+(Company_Latest!$L$2:$L$500="WARNING (3-14 Days)"), ROW(Company_Latest!$L$2:$L$500)-1), 64)), "")</f>
        <v/>
      </c>
      <c r="C73" s="8">
        <f>IFERROR(INDEX(Company_Latest!D$2:D$500, SMALL(IF((Company_Latest!$L$2:$L$500="OVERDUE (IDLE)")+(Company_Latest!$L$2:$L$500="WARNING (3-14 Days)"), ROW(Company_Latest!$L$2:$L$500)-1), 64)), "")</f>
        <v/>
      </c>
      <c r="D73" s="9">
        <f>IFERROR(INDEX(Company_Latest!E$2:E$500, SMALL(IF((Company_Latest!$L$2:$L$500="OVERDUE (IDLE)")+(Company_Latest!$L$2:$L$500="WARNING (3-14 Days)"), ROW(Company_Latest!$L$2:$L$500)-1), 64)), "")</f>
        <v/>
      </c>
      <c r="E73" s="8">
        <f>IFERROR(INDEX(Company_Latest!G$2:G$500, SMALL(IF((Company_Latest!$L$2:$L$500="OVERDUE (IDLE)")+(Company_Latest!$L$2:$L$500="WARNING (3-14 Days)"), ROW(Company_Latest!$L$2:$L$500)-1), 64)), "")</f>
        <v/>
      </c>
      <c r="F73" s="8">
        <f>IFERROR(INDEX(Company_Latest!H$2:H$500, SMALL(IF((Company_Latest!$L$2:$L$500="OVERDUE (IDLE)")+(Company_Latest!$L$2:$L$500="WARNING (3-14 Days)"), ROW(Company_Latest!$L$2:$L$500)-1), 64)), "")</f>
        <v/>
      </c>
      <c r="G73" s="9">
        <f>IFERROR(INDEX(Company_Latest!K$2:K$500, SMALL(IF((Company_Latest!$L$2:$L$500="OVERDUE (IDLE)")+(Company_Latest!$L$2:$L$500="WARNING (3-14 Days)"), ROW(Company_Latest!$L$2:$L$500)-1), 64)), "")</f>
        <v/>
      </c>
      <c r="H73" s="8">
        <f>IFERROR(INDEX(Company_Latest!L$2:L$500, SMALL(IF((Company_Latest!$L$2:$L$500="OVERDUE (IDLE)")+(Company_Latest!$L$2:$L$500="WARNING (3-14 Days)"), ROW(Company_Latest!$L$2:$L$500)-1), 64)), "")</f>
        <v/>
      </c>
    </row>
    <row r="74">
      <c r="A74" s="8">
        <f>IF(B74&lt;&gt;"", 65, "")</f>
        <v/>
      </c>
      <c r="B74" s="9">
        <f>IFERROR(INDEX(Company_Latest!C$2:C$500, SMALL(IF((Company_Latest!$L$2:$L$500="OVERDUE (IDLE)")+(Company_Latest!$L$2:$L$500="WARNING (3-14 Days)"), ROW(Company_Latest!$L$2:$L$500)-1), 65)), "")</f>
        <v/>
      </c>
      <c r="C74" s="8">
        <f>IFERROR(INDEX(Company_Latest!D$2:D$500, SMALL(IF((Company_Latest!$L$2:$L$500="OVERDUE (IDLE)")+(Company_Latest!$L$2:$L$500="WARNING (3-14 Days)"), ROW(Company_Latest!$L$2:$L$500)-1), 65)), "")</f>
        <v/>
      </c>
      <c r="D74" s="9">
        <f>IFERROR(INDEX(Company_Latest!E$2:E$500, SMALL(IF((Company_Latest!$L$2:$L$500="OVERDUE (IDLE)")+(Company_Latest!$L$2:$L$500="WARNING (3-14 Days)"), ROW(Company_Latest!$L$2:$L$500)-1), 65)), "")</f>
        <v/>
      </c>
      <c r="E74" s="8">
        <f>IFERROR(INDEX(Company_Latest!G$2:G$500, SMALL(IF((Company_Latest!$L$2:$L$500="OVERDUE (IDLE)")+(Company_Latest!$L$2:$L$500="WARNING (3-14 Days)"), ROW(Company_Latest!$L$2:$L$500)-1), 65)), "")</f>
        <v/>
      </c>
      <c r="F74" s="8">
        <f>IFERROR(INDEX(Company_Latest!H$2:H$500, SMALL(IF((Company_Latest!$L$2:$L$500="OVERDUE (IDLE)")+(Company_Latest!$L$2:$L$500="WARNING (3-14 Days)"), ROW(Company_Latest!$L$2:$L$500)-1), 65)), "")</f>
        <v/>
      </c>
      <c r="G74" s="9">
        <f>IFERROR(INDEX(Company_Latest!K$2:K$500, SMALL(IF((Company_Latest!$L$2:$L$500="OVERDUE (IDLE)")+(Company_Latest!$L$2:$L$500="WARNING (3-14 Days)"), ROW(Company_Latest!$L$2:$L$500)-1), 65)), "")</f>
        <v/>
      </c>
      <c r="H74" s="8">
        <f>IFERROR(INDEX(Company_Latest!L$2:L$500, SMALL(IF((Company_Latest!$L$2:$L$500="OVERDUE (IDLE)")+(Company_Latest!$L$2:$L$500="WARNING (3-14 Days)"), ROW(Company_Latest!$L$2:$L$500)-1), 65)), "")</f>
        <v/>
      </c>
    </row>
    <row r="75">
      <c r="A75" s="8">
        <f>IF(B75&lt;&gt;"", 66, "")</f>
        <v/>
      </c>
      <c r="B75" s="9">
        <f>IFERROR(INDEX(Company_Latest!C$2:C$500, SMALL(IF((Company_Latest!$L$2:$L$500="OVERDUE (IDLE)")+(Company_Latest!$L$2:$L$500="WARNING (3-14 Days)"), ROW(Company_Latest!$L$2:$L$500)-1), 66)), "")</f>
        <v/>
      </c>
      <c r="C75" s="8">
        <f>IFERROR(INDEX(Company_Latest!D$2:D$500, SMALL(IF((Company_Latest!$L$2:$L$500="OVERDUE (IDLE)")+(Company_Latest!$L$2:$L$500="WARNING (3-14 Days)"), ROW(Company_Latest!$L$2:$L$500)-1), 66)), "")</f>
        <v/>
      </c>
      <c r="D75" s="9">
        <f>IFERROR(INDEX(Company_Latest!E$2:E$500, SMALL(IF((Company_Latest!$L$2:$L$500="OVERDUE (IDLE)")+(Company_Latest!$L$2:$L$500="WARNING (3-14 Days)"), ROW(Company_Latest!$L$2:$L$500)-1), 66)), "")</f>
        <v/>
      </c>
      <c r="E75" s="8">
        <f>IFERROR(INDEX(Company_Latest!G$2:G$500, SMALL(IF((Company_Latest!$L$2:$L$500="OVERDUE (IDLE)")+(Company_Latest!$L$2:$L$500="WARNING (3-14 Days)"), ROW(Company_Latest!$L$2:$L$500)-1), 66)), "")</f>
        <v/>
      </c>
      <c r="F75" s="8">
        <f>IFERROR(INDEX(Company_Latest!H$2:H$500, SMALL(IF((Company_Latest!$L$2:$L$500="OVERDUE (IDLE)")+(Company_Latest!$L$2:$L$500="WARNING (3-14 Days)"), ROW(Company_Latest!$L$2:$L$500)-1), 66)), "")</f>
        <v/>
      </c>
      <c r="G75" s="9">
        <f>IFERROR(INDEX(Company_Latest!K$2:K$500, SMALL(IF((Company_Latest!$L$2:$L$500="OVERDUE (IDLE)")+(Company_Latest!$L$2:$L$500="WARNING (3-14 Days)"), ROW(Company_Latest!$L$2:$L$500)-1), 66)), "")</f>
        <v/>
      </c>
      <c r="H75" s="8">
        <f>IFERROR(INDEX(Company_Latest!L$2:L$500, SMALL(IF((Company_Latest!$L$2:$L$500="OVERDUE (IDLE)")+(Company_Latest!$L$2:$L$500="WARNING (3-14 Days)"), ROW(Company_Latest!$L$2:$L$500)-1), 66)), "")</f>
        <v/>
      </c>
    </row>
    <row r="76">
      <c r="A76" s="8">
        <f>IF(B76&lt;&gt;"", 67, "")</f>
        <v/>
      </c>
      <c r="B76" s="9">
        <f>IFERROR(INDEX(Company_Latest!C$2:C$500, SMALL(IF((Company_Latest!$L$2:$L$500="OVERDUE (IDLE)")+(Company_Latest!$L$2:$L$500="WARNING (3-14 Days)"), ROW(Company_Latest!$L$2:$L$500)-1), 67)), "")</f>
        <v/>
      </c>
      <c r="C76" s="8">
        <f>IFERROR(INDEX(Company_Latest!D$2:D$500, SMALL(IF((Company_Latest!$L$2:$L$500="OVERDUE (IDLE)")+(Company_Latest!$L$2:$L$500="WARNING (3-14 Days)"), ROW(Company_Latest!$L$2:$L$500)-1), 67)), "")</f>
        <v/>
      </c>
      <c r="D76" s="9">
        <f>IFERROR(INDEX(Company_Latest!E$2:E$500, SMALL(IF((Company_Latest!$L$2:$L$500="OVERDUE (IDLE)")+(Company_Latest!$L$2:$L$500="WARNING (3-14 Days)"), ROW(Company_Latest!$L$2:$L$500)-1), 67)), "")</f>
        <v/>
      </c>
      <c r="E76" s="8">
        <f>IFERROR(INDEX(Company_Latest!G$2:G$500, SMALL(IF((Company_Latest!$L$2:$L$500="OVERDUE (IDLE)")+(Company_Latest!$L$2:$L$500="WARNING (3-14 Days)"), ROW(Company_Latest!$L$2:$L$500)-1), 67)), "")</f>
        <v/>
      </c>
      <c r="F76" s="8">
        <f>IFERROR(INDEX(Company_Latest!H$2:H$500, SMALL(IF((Company_Latest!$L$2:$L$500="OVERDUE (IDLE)")+(Company_Latest!$L$2:$L$500="WARNING (3-14 Days)"), ROW(Company_Latest!$L$2:$L$500)-1), 67)), "")</f>
        <v/>
      </c>
      <c r="G76" s="9">
        <f>IFERROR(INDEX(Company_Latest!K$2:K$500, SMALL(IF((Company_Latest!$L$2:$L$500="OVERDUE (IDLE)")+(Company_Latest!$L$2:$L$500="WARNING (3-14 Days)"), ROW(Company_Latest!$L$2:$L$500)-1), 67)), "")</f>
        <v/>
      </c>
      <c r="H76" s="8">
        <f>IFERROR(INDEX(Company_Latest!L$2:L$500, SMALL(IF((Company_Latest!$L$2:$L$500="OVERDUE (IDLE)")+(Company_Latest!$L$2:$L$500="WARNING (3-14 Days)"), ROW(Company_Latest!$L$2:$L$500)-1), 67)), "")</f>
        <v/>
      </c>
    </row>
    <row r="77">
      <c r="A77" s="8">
        <f>IF(B77&lt;&gt;"", 68, "")</f>
        <v/>
      </c>
      <c r="B77" s="9">
        <f>IFERROR(INDEX(Company_Latest!C$2:C$500, SMALL(IF((Company_Latest!$L$2:$L$500="OVERDUE (IDLE)")+(Company_Latest!$L$2:$L$500="WARNING (3-14 Days)"), ROW(Company_Latest!$L$2:$L$500)-1), 68)), "")</f>
        <v/>
      </c>
      <c r="C77" s="8">
        <f>IFERROR(INDEX(Company_Latest!D$2:D$500, SMALL(IF((Company_Latest!$L$2:$L$500="OVERDUE (IDLE)")+(Company_Latest!$L$2:$L$500="WARNING (3-14 Days)"), ROW(Company_Latest!$L$2:$L$500)-1), 68)), "")</f>
        <v/>
      </c>
      <c r="D77" s="9">
        <f>IFERROR(INDEX(Company_Latest!E$2:E$500, SMALL(IF((Company_Latest!$L$2:$L$500="OVERDUE (IDLE)")+(Company_Latest!$L$2:$L$500="WARNING (3-14 Days)"), ROW(Company_Latest!$L$2:$L$500)-1), 68)), "")</f>
        <v/>
      </c>
      <c r="E77" s="8">
        <f>IFERROR(INDEX(Company_Latest!G$2:G$500, SMALL(IF((Company_Latest!$L$2:$L$500="OVERDUE (IDLE)")+(Company_Latest!$L$2:$L$500="WARNING (3-14 Days)"), ROW(Company_Latest!$L$2:$L$500)-1), 68)), "")</f>
        <v/>
      </c>
      <c r="F77" s="8">
        <f>IFERROR(INDEX(Company_Latest!H$2:H$500, SMALL(IF((Company_Latest!$L$2:$L$500="OVERDUE (IDLE)")+(Company_Latest!$L$2:$L$500="WARNING (3-14 Days)"), ROW(Company_Latest!$L$2:$L$500)-1), 68)), "")</f>
        <v/>
      </c>
      <c r="G77" s="9">
        <f>IFERROR(INDEX(Company_Latest!K$2:K$500, SMALL(IF((Company_Latest!$L$2:$L$500="OVERDUE (IDLE)")+(Company_Latest!$L$2:$L$500="WARNING (3-14 Days)"), ROW(Company_Latest!$L$2:$L$500)-1), 68)), "")</f>
        <v/>
      </c>
      <c r="H77" s="8">
        <f>IFERROR(INDEX(Company_Latest!L$2:L$500, SMALL(IF((Company_Latest!$L$2:$L$500="OVERDUE (IDLE)")+(Company_Latest!$L$2:$L$500="WARNING (3-14 Days)"), ROW(Company_Latest!$L$2:$L$500)-1), 68)), "")</f>
        <v/>
      </c>
    </row>
    <row r="78">
      <c r="A78" s="8">
        <f>IF(B78&lt;&gt;"", 69, "")</f>
        <v/>
      </c>
      <c r="B78" s="9">
        <f>IFERROR(INDEX(Company_Latest!C$2:C$500, SMALL(IF((Company_Latest!$L$2:$L$500="OVERDUE (IDLE)")+(Company_Latest!$L$2:$L$500="WARNING (3-14 Days)"), ROW(Company_Latest!$L$2:$L$500)-1), 69)), "")</f>
        <v/>
      </c>
      <c r="C78" s="8">
        <f>IFERROR(INDEX(Company_Latest!D$2:D$500, SMALL(IF((Company_Latest!$L$2:$L$500="OVERDUE (IDLE)")+(Company_Latest!$L$2:$L$500="WARNING (3-14 Days)"), ROW(Company_Latest!$L$2:$L$500)-1), 69)), "")</f>
        <v/>
      </c>
      <c r="D78" s="9">
        <f>IFERROR(INDEX(Company_Latest!E$2:E$500, SMALL(IF((Company_Latest!$L$2:$L$500="OVERDUE (IDLE)")+(Company_Latest!$L$2:$L$500="WARNING (3-14 Days)"), ROW(Company_Latest!$L$2:$L$500)-1), 69)), "")</f>
        <v/>
      </c>
      <c r="E78" s="8">
        <f>IFERROR(INDEX(Company_Latest!G$2:G$500, SMALL(IF((Company_Latest!$L$2:$L$500="OVERDUE (IDLE)")+(Company_Latest!$L$2:$L$500="WARNING (3-14 Days)"), ROW(Company_Latest!$L$2:$L$500)-1), 69)), "")</f>
        <v/>
      </c>
      <c r="F78" s="8">
        <f>IFERROR(INDEX(Company_Latest!H$2:H$500, SMALL(IF((Company_Latest!$L$2:$L$500="OVERDUE (IDLE)")+(Company_Latest!$L$2:$L$500="WARNING (3-14 Days)"), ROW(Company_Latest!$L$2:$L$500)-1), 69)), "")</f>
        <v/>
      </c>
      <c r="G78" s="9">
        <f>IFERROR(INDEX(Company_Latest!K$2:K$500, SMALL(IF((Company_Latest!$L$2:$L$500="OVERDUE (IDLE)")+(Company_Latest!$L$2:$L$500="WARNING (3-14 Days)"), ROW(Company_Latest!$L$2:$L$500)-1), 69)), "")</f>
        <v/>
      </c>
      <c r="H78" s="8">
        <f>IFERROR(INDEX(Company_Latest!L$2:L$500, SMALL(IF((Company_Latest!$L$2:$L$500="OVERDUE (IDLE)")+(Company_Latest!$L$2:$L$500="WARNING (3-14 Days)"), ROW(Company_Latest!$L$2:$L$500)-1), 69)), "")</f>
        <v/>
      </c>
    </row>
    <row r="79">
      <c r="A79" s="8">
        <f>IF(B79&lt;&gt;"", 70, "")</f>
        <v/>
      </c>
      <c r="B79" s="9">
        <f>IFERROR(INDEX(Company_Latest!C$2:C$500, SMALL(IF((Company_Latest!$L$2:$L$500="OVERDUE (IDLE)")+(Company_Latest!$L$2:$L$500="WARNING (3-14 Days)"), ROW(Company_Latest!$L$2:$L$500)-1), 70)), "")</f>
        <v/>
      </c>
      <c r="C79" s="8">
        <f>IFERROR(INDEX(Company_Latest!D$2:D$500, SMALL(IF((Company_Latest!$L$2:$L$500="OVERDUE (IDLE)")+(Company_Latest!$L$2:$L$500="WARNING (3-14 Days)"), ROW(Company_Latest!$L$2:$L$500)-1), 70)), "")</f>
        <v/>
      </c>
      <c r="D79" s="9">
        <f>IFERROR(INDEX(Company_Latest!E$2:E$500, SMALL(IF((Company_Latest!$L$2:$L$500="OVERDUE (IDLE)")+(Company_Latest!$L$2:$L$500="WARNING (3-14 Days)"), ROW(Company_Latest!$L$2:$L$500)-1), 70)), "")</f>
        <v/>
      </c>
      <c r="E79" s="8">
        <f>IFERROR(INDEX(Company_Latest!G$2:G$500, SMALL(IF((Company_Latest!$L$2:$L$500="OVERDUE (IDLE)")+(Company_Latest!$L$2:$L$500="WARNING (3-14 Days)"), ROW(Company_Latest!$L$2:$L$500)-1), 70)), "")</f>
        <v/>
      </c>
      <c r="F79" s="8">
        <f>IFERROR(INDEX(Company_Latest!H$2:H$500, SMALL(IF((Company_Latest!$L$2:$L$500="OVERDUE (IDLE)")+(Company_Latest!$L$2:$L$500="WARNING (3-14 Days)"), ROW(Company_Latest!$L$2:$L$500)-1), 70)), "")</f>
        <v/>
      </c>
      <c r="G79" s="9">
        <f>IFERROR(INDEX(Company_Latest!K$2:K$500, SMALL(IF((Company_Latest!$L$2:$L$500="OVERDUE (IDLE)")+(Company_Latest!$L$2:$L$500="WARNING (3-14 Days)"), ROW(Company_Latest!$L$2:$L$500)-1), 70)), "")</f>
        <v/>
      </c>
      <c r="H79" s="8">
        <f>IFERROR(INDEX(Company_Latest!L$2:L$500, SMALL(IF((Company_Latest!$L$2:$L$500="OVERDUE (IDLE)")+(Company_Latest!$L$2:$L$500="WARNING (3-14 Days)"), ROW(Company_Latest!$L$2:$L$500)-1), 70)), "")</f>
        <v/>
      </c>
    </row>
    <row r="80">
      <c r="A80" s="8">
        <f>IF(B80&lt;&gt;"", 71, "")</f>
        <v/>
      </c>
      <c r="B80" s="9">
        <f>IFERROR(INDEX(Company_Latest!C$2:C$500, SMALL(IF((Company_Latest!$L$2:$L$500="OVERDUE (IDLE)")+(Company_Latest!$L$2:$L$500="WARNING (3-14 Days)"), ROW(Company_Latest!$L$2:$L$500)-1), 71)), "")</f>
        <v/>
      </c>
      <c r="C80" s="8">
        <f>IFERROR(INDEX(Company_Latest!D$2:D$500, SMALL(IF((Company_Latest!$L$2:$L$500="OVERDUE (IDLE)")+(Company_Latest!$L$2:$L$500="WARNING (3-14 Days)"), ROW(Company_Latest!$L$2:$L$500)-1), 71)), "")</f>
        <v/>
      </c>
      <c r="D80" s="9">
        <f>IFERROR(INDEX(Company_Latest!E$2:E$500, SMALL(IF((Company_Latest!$L$2:$L$500="OVERDUE (IDLE)")+(Company_Latest!$L$2:$L$500="WARNING (3-14 Days)"), ROW(Company_Latest!$L$2:$L$500)-1), 71)), "")</f>
        <v/>
      </c>
      <c r="E80" s="8">
        <f>IFERROR(INDEX(Company_Latest!G$2:G$500, SMALL(IF((Company_Latest!$L$2:$L$500="OVERDUE (IDLE)")+(Company_Latest!$L$2:$L$500="WARNING (3-14 Days)"), ROW(Company_Latest!$L$2:$L$500)-1), 71)), "")</f>
        <v/>
      </c>
      <c r="F80" s="8">
        <f>IFERROR(INDEX(Company_Latest!H$2:H$500, SMALL(IF((Company_Latest!$L$2:$L$500="OVERDUE (IDLE)")+(Company_Latest!$L$2:$L$500="WARNING (3-14 Days)"), ROW(Company_Latest!$L$2:$L$500)-1), 71)), "")</f>
        <v/>
      </c>
      <c r="G80" s="9">
        <f>IFERROR(INDEX(Company_Latest!K$2:K$500, SMALL(IF((Company_Latest!$L$2:$L$500="OVERDUE (IDLE)")+(Company_Latest!$L$2:$L$500="WARNING (3-14 Days)"), ROW(Company_Latest!$L$2:$L$500)-1), 71)), "")</f>
        <v/>
      </c>
      <c r="H80" s="8">
        <f>IFERROR(INDEX(Company_Latest!L$2:L$500, SMALL(IF((Company_Latest!$L$2:$L$500="OVERDUE (IDLE)")+(Company_Latest!$L$2:$L$500="WARNING (3-14 Days)"), ROW(Company_Latest!$L$2:$L$500)-1), 71)), "")</f>
        <v/>
      </c>
    </row>
    <row r="81">
      <c r="A81" s="8">
        <f>IF(B81&lt;&gt;"", 72, "")</f>
        <v/>
      </c>
      <c r="B81" s="9">
        <f>IFERROR(INDEX(Company_Latest!C$2:C$500, SMALL(IF((Company_Latest!$L$2:$L$500="OVERDUE (IDLE)")+(Company_Latest!$L$2:$L$500="WARNING (3-14 Days)"), ROW(Company_Latest!$L$2:$L$500)-1), 72)), "")</f>
        <v/>
      </c>
      <c r="C81" s="8">
        <f>IFERROR(INDEX(Company_Latest!D$2:D$500, SMALL(IF((Company_Latest!$L$2:$L$500="OVERDUE (IDLE)")+(Company_Latest!$L$2:$L$500="WARNING (3-14 Days)"), ROW(Company_Latest!$L$2:$L$500)-1), 72)), "")</f>
        <v/>
      </c>
      <c r="D81" s="9">
        <f>IFERROR(INDEX(Company_Latest!E$2:E$500, SMALL(IF((Company_Latest!$L$2:$L$500="OVERDUE (IDLE)")+(Company_Latest!$L$2:$L$500="WARNING (3-14 Days)"), ROW(Company_Latest!$L$2:$L$500)-1), 72)), "")</f>
        <v/>
      </c>
      <c r="E81" s="8">
        <f>IFERROR(INDEX(Company_Latest!G$2:G$500, SMALL(IF((Company_Latest!$L$2:$L$500="OVERDUE (IDLE)")+(Company_Latest!$L$2:$L$500="WARNING (3-14 Days)"), ROW(Company_Latest!$L$2:$L$500)-1), 72)), "")</f>
        <v/>
      </c>
      <c r="F81" s="8">
        <f>IFERROR(INDEX(Company_Latest!H$2:H$500, SMALL(IF((Company_Latest!$L$2:$L$500="OVERDUE (IDLE)")+(Company_Latest!$L$2:$L$500="WARNING (3-14 Days)"), ROW(Company_Latest!$L$2:$L$500)-1), 72)), "")</f>
        <v/>
      </c>
      <c r="G81" s="9">
        <f>IFERROR(INDEX(Company_Latest!K$2:K$500, SMALL(IF((Company_Latest!$L$2:$L$500="OVERDUE (IDLE)")+(Company_Latest!$L$2:$L$500="WARNING (3-14 Days)"), ROW(Company_Latest!$L$2:$L$500)-1), 72)), "")</f>
        <v/>
      </c>
      <c r="H81" s="8">
        <f>IFERROR(INDEX(Company_Latest!L$2:L$500, SMALL(IF((Company_Latest!$L$2:$L$500="OVERDUE (IDLE)")+(Company_Latest!$L$2:$L$500="WARNING (3-14 Days)"), ROW(Company_Latest!$L$2:$L$500)-1), 72)), "")</f>
        <v/>
      </c>
    </row>
    <row r="82">
      <c r="A82" s="8">
        <f>IF(B82&lt;&gt;"", 73, "")</f>
        <v/>
      </c>
      <c r="B82" s="9">
        <f>IFERROR(INDEX(Company_Latest!C$2:C$500, SMALL(IF((Company_Latest!$L$2:$L$500="OVERDUE (IDLE)")+(Company_Latest!$L$2:$L$500="WARNING (3-14 Days)"), ROW(Company_Latest!$L$2:$L$500)-1), 73)), "")</f>
        <v/>
      </c>
      <c r="C82" s="8">
        <f>IFERROR(INDEX(Company_Latest!D$2:D$500, SMALL(IF((Company_Latest!$L$2:$L$500="OVERDUE (IDLE)")+(Company_Latest!$L$2:$L$500="WARNING (3-14 Days)"), ROW(Company_Latest!$L$2:$L$500)-1), 73)), "")</f>
        <v/>
      </c>
      <c r="D82" s="9">
        <f>IFERROR(INDEX(Company_Latest!E$2:E$500, SMALL(IF((Company_Latest!$L$2:$L$500="OVERDUE (IDLE)")+(Company_Latest!$L$2:$L$500="WARNING (3-14 Days)"), ROW(Company_Latest!$L$2:$L$500)-1), 73)), "")</f>
        <v/>
      </c>
      <c r="E82" s="8">
        <f>IFERROR(INDEX(Company_Latest!G$2:G$500, SMALL(IF((Company_Latest!$L$2:$L$500="OVERDUE (IDLE)")+(Company_Latest!$L$2:$L$500="WARNING (3-14 Days)"), ROW(Company_Latest!$L$2:$L$500)-1), 73)), "")</f>
        <v/>
      </c>
      <c r="F82" s="8">
        <f>IFERROR(INDEX(Company_Latest!H$2:H$500, SMALL(IF((Company_Latest!$L$2:$L$500="OVERDUE (IDLE)")+(Company_Latest!$L$2:$L$500="WARNING (3-14 Days)"), ROW(Company_Latest!$L$2:$L$500)-1), 73)), "")</f>
        <v/>
      </c>
      <c r="G82" s="9">
        <f>IFERROR(INDEX(Company_Latest!K$2:K$500, SMALL(IF((Company_Latest!$L$2:$L$500="OVERDUE (IDLE)")+(Company_Latest!$L$2:$L$500="WARNING (3-14 Days)"), ROW(Company_Latest!$L$2:$L$500)-1), 73)), "")</f>
        <v/>
      </c>
      <c r="H82" s="8">
        <f>IFERROR(INDEX(Company_Latest!L$2:L$500, SMALL(IF((Company_Latest!$L$2:$L$500="OVERDUE (IDLE)")+(Company_Latest!$L$2:$L$500="WARNING (3-14 Days)"), ROW(Company_Latest!$L$2:$L$500)-1), 73)), "")</f>
        <v/>
      </c>
    </row>
    <row r="83">
      <c r="A83" s="8">
        <f>IF(B83&lt;&gt;"", 74, "")</f>
        <v/>
      </c>
      <c r="B83" s="9">
        <f>IFERROR(INDEX(Company_Latest!C$2:C$500, SMALL(IF((Company_Latest!$L$2:$L$500="OVERDUE (IDLE)")+(Company_Latest!$L$2:$L$500="WARNING (3-14 Days)"), ROW(Company_Latest!$L$2:$L$500)-1), 74)), "")</f>
        <v/>
      </c>
      <c r="C83" s="8">
        <f>IFERROR(INDEX(Company_Latest!D$2:D$500, SMALL(IF((Company_Latest!$L$2:$L$500="OVERDUE (IDLE)")+(Company_Latest!$L$2:$L$500="WARNING (3-14 Days)"), ROW(Company_Latest!$L$2:$L$500)-1), 74)), "")</f>
        <v/>
      </c>
      <c r="D83" s="9">
        <f>IFERROR(INDEX(Company_Latest!E$2:E$500, SMALL(IF((Company_Latest!$L$2:$L$500="OVERDUE (IDLE)")+(Company_Latest!$L$2:$L$500="WARNING (3-14 Days)"), ROW(Company_Latest!$L$2:$L$500)-1), 74)), "")</f>
        <v/>
      </c>
      <c r="E83" s="8">
        <f>IFERROR(INDEX(Company_Latest!G$2:G$500, SMALL(IF((Company_Latest!$L$2:$L$500="OVERDUE (IDLE)")+(Company_Latest!$L$2:$L$500="WARNING (3-14 Days)"), ROW(Company_Latest!$L$2:$L$500)-1), 74)), "")</f>
        <v/>
      </c>
      <c r="F83" s="8">
        <f>IFERROR(INDEX(Company_Latest!H$2:H$500, SMALL(IF((Company_Latest!$L$2:$L$500="OVERDUE (IDLE)")+(Company_Latest!$L$2:$L$500="WARNING (3-14 Days)"), ROW(Company_Latest!$L$2:$L$500)-1), 74)), "")</f>
        <v/>
      </c>
      <c r="G83" s="9">
        <f>IFERROR(INDEX(Company_Latest!K$2:K$500, SMALL(IF((Company_Latest!$L$2:$L$500="OVERDUE (IDLE)")+(Company_Latest!$L$2:$L$500="WARNING (3-14 Days)"), ROW(Company_Latest!$L$2:$L$500)-1), 74)), "")</f>
        <v/>
      </c>
      <c r="H83" s="8">
        <f>IFERROR(INDEX(Company_Latest!L$2:L$500, SMALL(IF((Company_Latest!$L$2:$L$500="OVERDUE (IDLE)")+(Company_Latest!$L$2:$L$500="WARNING (3-14 Days)"), ROW(Company_Latest!$L$2:$L$500)-1), 74)), "")</f>
        <v/>
      </c>
    </row>
    <row r="84">
      <c r="A84" s="8">
        <f>IF(B84&lt;&gt;"", 75, "")</f>
        <v/>
      </c>
      <c r="B84" s="9">
        <f>IFERROR(INDEX(Company_Latest!C$2:C$500, SMALL(IF((Company_Latest!$L$2:$L$500="OVERDUE (IDLE)")+(Company_Latest!$L$2:$L$500="WARNING (3-14 Days)"), ROW(Company_Latest!$L$2:$L$500)-1), 75)), "")</f>
        <v/>
      </c>
      <c r="C84" s="8">
        <f>IFERROR(INDEX(Company_Latest!D$2:D$500, SMALL(IF((Company_Latest!$L$2:$L$500="OVERDUE (IDLE)")+(Company_Latest!$L$2:$L$500="WARNING (3-14 Days)"), ROW(Company_Latest!$L$2:$L$500)-1), 75)), "")</f>
        <v/>
      </c>
      <c r="D84" s="9">
        <f>IFERROR(INDEX(Company_Latest!E$2:E$500, SMALL(IF((Company_Latest!$L$2:$L$500="OVERDUE (IDLE)")+(Company_Latest!$L$2:$L$500="WARNING (3-14 Days)"), ROW(Company_Latest!$L$2:$L$500)-1), 75)), "")</f>
        <v/>
      </c>
      <c r="E84" s="8">
        <f>IFERROR(INDEX(Company_Latest!G$2:G$500, SMALL(IF((Company_Latest!$L$2:$L$500="OVERDUE (IDLE)")+(Company_Latest!$L$2:$L$500="WARNING (3-14 Days)"), ROW(Company_Latest!$L$2:$L$500)-1), 75)), "")</f>
        <v/>
      </c>
      <c r="F84" s="8">
        <f>IFERROR(INDEX(Company_Latest!H$2:H$500, SMALL(IF((Company_Latest!$L$2:$L$500="OVERDUE (IDLE)")+(Company_Latest!$L$2:$L$500="WARNING (3-14 Days)"), ROW(Company_Latest!$L$2:$L$500)-1), 75)), "")</f>
        <v/>
      </c>
      <c r="G84" s="9">
        <f>IFERROR(INDEX(Company_Latest!K$2:K$500, SMALL(IF((Company_Latest!$L$2:$L$500="OVERDUE (IDLE)")+(Company_Latest!$L$2:$L$500="WARNING (3-14 Days)"), ROW(Company_Latest!$L$2:$L$500)-1), 75)), "")</f>
        <v/>
      </c>
      <c r="H84" s="8">
        <f>IFERROR(INDEX(Company_Latest!L$2:L$500, SMALL(IF((Company_Latest!$L$2:$L$500="OVERDUE (IDLE)")+(Company_Latest!$L$2:$L$500="WARNING (3-14 Days)"), ROW(Company_Latest!$L$2:$L$500)-1), 75)), "")</f>
        <v/>
      </c>
    </row>
    <row r="85">
      <c r="A85" s="8">
        <f>IF(B85&lt;&gt;"", 76, "")</f>
        <v/>
      </c>
      <c r="B85" s="9">
        <f>IFERROR(INDEX(Company_Latest!C$2:C$500, SMALL(IF((Company_Latest!$L$2:$L$500="OVERDUE (IDLE)")+(Company_Latest!$L$2:$L$500="WARNING (3-14 Days)"), ROW(Company_Latest!$L$2:$L$500)-1), 76)), "")</f>
        <v/>
      </c>
      <c r="C85" s="8">
        <f>IFERROR(INDEX(Company_Latest!D$2:D$500, SMALL(IF((Company_Latest!$L$2:$L$500="OVERDUE (IDLE)")+(Company_Latest!$L$2:$L$500="WARNING (3-14 Days)"), ROW(Company_Latest!$L$2:$L$500)-1), 76)), "")</f>
        <v/>
      </c>
      <c r="D85" s="9">
        <f>IFERROR(INDEX(Company_Latest!E$2:E$500, SMALL(IF((Company_Latest!$L$2:$L$500="OVERDUE (IDLE)")+(Company_Latest!$L$2:$L$500="WARNING (3-14 Days)"), ROW(Company_Latest!$L$2:$L$500)-1), 76)), "")</f>
        <v/>
      </c>
      <c r="E85" s="8">
        <f>IFERROR(INDEX(Company_Latest!G$2:G$500, SMALL(IF((Company_Latest!$L$2:$L$500="OVERDUE (IDLE)")+(Company_Latest!$L$2:$L$500="WARNING (3-14 Days)"), ROW(Company_Latest!$L$2:$L$500)-1), 76)), "")</f>
        <v/>
      </c>
      <c r="F85" s="8">
        <f>IFERROR(INDEX(Company_Latest!H$2:H$500, SMALL(IF((Company_Latest!$L$2:$L$500="OVERDUE (IDLE)")+(Company_Latest!$L$2:$L$500="WARNING (3-14 Days)"), ROW(Company_Latest!$L$2:$L$500)-1), 76)), "")</f>
        <v/>
      </c>
      <c r="G85" s="9">
        <f>IFERROR(INDEX(Company_Latest!K$2:K$500, SMALL(IF((Company_Latest!$L$2:$L$500="OVERDUE (IDLE)")+(Company_Latest!$L$2:$L$500="WARNING (3-14 Days)"), ROW(Company_Latest!$L$2:$L$500)-1), 76)), "")</f>
        <v/>
      </c>
      <c r="H85" s="8">
        <f>IFERROR(INDEX(Company_Latest!L$2:L$500, SMALL(IF((Company_Latest!$L$2:$L$500="OVERDUE (IDLE)")+(Company_Latest!$L$2:$L$500="WARNING (3-14 Days)"), ROW(Company_Latest!$L$2:$L$500)-1), 76)), "")</f>
        <v/>
      </c>
    </row>
    <row r="86">
      <c r="A86" s="8">
        <f>IF(B86&lt;&gt;"", 77, "")</f>
        <v/>
      </c>
      <c r="B86" s="9">
        <f>IFERROR(INDEX(Company_Latest!C$2:C$500, SMALL(IF((Company_Latest!$L$2:$L$500="OVERDUE (IDLE)")+(Company_Latest!$L$2:$L$500="WARNING (3-14 Days)"), ROW(Company_Latest!$L$2:$L$500)-1), 77)), "")</f>
        <v/>
      </c>
      <c r="C86" s="8">
        <f>IFERROR(INDEX(Company_Latest!D$2:D$500, SMALL(IF((Company_Latest!$L$2:$L$500="OVERDUE (IDLE)")+(Company_Latest!$L$2:$L$500="WARNING (3-14 Days)"), ROW(Company_Latest!$L$2:$L$500)-1), 77)), "")</f>
        <v/>
      </c>
      <c r="D86" s="9">
        <f>IFERROR(INDEX(Company_Latest!E$2:E$500, SMALL(IF((Company_Latest!$L$2:$L$500="OVERDUE (IDLE)")+(Company_Latest!$L$2:$L$500="WARNING (3-14 Days)"), ROW(Company_Latest!$L$2:$L$500)-1), 77)), "")</f>
        <v/>
      </c>
      <c r="E86" s="8">
        <f>IFERROR(INDEX(Company_Latest!G$2:G$500, SMALL(IF((Company_Latest!$L$2:$L$500="OVERDUE (IDLE)")+(Company_Latest!$L$2:$L$500="WARNING (3-14 Days)"), ROW(Company_Latest!$L$2:$L$500)-1), 77)), "")</f>
        <v/>
      </c>
      <c r="F86" s="8">
        <f>IFERROR(INDEX(Company_Latest!H$2:H$500, SMALL(IF((Company_Latest!$L$2:$L$500="OVERDUE (IDLE)")+(Company_Latest!$L$2:$L$500="WARNING (3-14 Days)"), ROW(Company_Latest!$L$2:$L$500)-1), 77)), "")</f>
        <v/>
      </c>
      <c r="G86" s="9">
        <f>IFERROR(INDEX(Company_Latest!K$2:K$500, SMALL(IF((Company_Latest!$L$2:$L$500="OVERDUE (IDLE)")+(Company_Latest!$L$2:$L$500="WARNING (3-14 Days)"), ROW(Company_Latest!$L$2:$L$500)-1), 77)), "")</f>
        <v/>
      </c>
      <c r="H86" s="8">
        <f>IFERROR(INDEX(Company_Latest!L$2:L$500, SMALL(IF((Company_Latest!$L$2:$L$500="OVERDUE (IDLE)")+(Company_Latest!$L$2:$L$500="WARNING (3-14 Days)"), ROW(Company_Latest!$L$2:$L$500)-1), 77)), "")</f>
        <v/>
      </c>
    </row>
    <row r="87">
      <c r="A87" s="8">
        <f>IF(B87&lt;&gt;"", 78, "")</f>
        <v/>
      </c>
      <c r="B87" s="9">
        <f>IFERROR(INDEX(Company_Latest!C$2:C$500, SMALL(IF((Company_Latest!$L$2:$L$500="OVERDUE (IDLE)")+(Company_Latest!$L$2:$L$500="WARNING (3-14 Days)"), ROW(Company_Latest!$L$2:$L$500)-1), 78)), "")</f>
        <v/>
      </c>
      <c r="C87" s="8">
        <f>IFERROR(INDEX(Company_Latest!D$2:D$500, SMALL(IF((Company_Latest!$L$2:$L$500="OVERDUE (IDLE)")+(Company_Latest!$L$2:$L$500="WARNING (3-14 Days)"), ROW(Company_Latest!$L$2:$L$500)-1), 78)), "")</f>
        <v/>
      </c>
      <c r="D87" s="9">
        <f>IFERROR(INDEX(Company_Latest!E$2:E$500, SMALL(IF((Company_Latest!$L$2:$L$500="OVERDUE (IDLE)")+(Company_Latest!$L$2:$L$500="WARNING (3-14 Days)"), ROW(Company_Latest!$L$2:$L$500)-1), 78)), "")</f>
        <v/>
      </c>
      <c r="E87" s="8">
        <f>IFERROR(INDEX(Company_Latest!G$2:G$500, SMALL(IF((Company_Latest!$L$2:$L$500="OVERDUE (IDLE)")+(Company_Latest!$L$2:$L$500="WARNING (3-14 Days)"), ROW(Company_Latest!$L$2:$L$500)-1), 78)), "")</f>
        <v/>
      </c>
      <c r="F87" s="8">
        <f>IFERROR(INDEX(Company_Latest!H$2:H$500, SMALL(IF((Company_Latest!$L$2:$L$500="OVERDUE (IDLE)")+(Company_Latest!$L$2:$L$500="WARNING (3-14 Days)"), ROW(Company_Latest!$L$2:$L$500)-1), 78)), "")</f>
        <v/>
      </c>
      <c r="G87" s="9">
        <f>IFERROR(INDEX(Company_Latest!K$2:K$500, SMALL(IF((Company_Latest!$L$2:$L$500="OVERDUE (IDLE)")+(Company_Latest!$L$2:$L$500="WARNING (3-14 Days)"), ROW(Company_Latest!$L$2:$L$500)-1), 78)), "")</f>
        <v/>
      </c>
      <c r="H87" s="8">
        <f>IFERROR(INDEX(Company_Latest!L$2:L$500, SMALL(IF((Company_Latest!$L$2:$L$500="OVERDUE (IDLE)")+(Company_Latest!$L$2:$L$500="WARNING (3-14 Days)"), ROW(Company_Latest!$L$2:$L$500)-1), 78)), "")</f>
        <v/>
      </c>
    </row>
    <row r="88">
      <c r="A88" s="8">
        <f>IF(B88&lt;&gt;"", 79, "")</f>
        <v/>
      </c>
      <c r="B88" s="9">
        <f>IFERROR(INDEX(Company_Latest!C$2:C$500, SMALL(IF((Company_Latest!$L$2:$L$500="OVERDUE (IDLE)")+(Company_Latest!$L$2:$L$500="WARNING (3-14 Days)"), ROW(Company_Latest!$L$2:$L$500)-1), 79)), "")</f>
        <v/>
      </c>
      <c r="C88" s="8">
        <f>IFERROR(INDEX(Company_Latest!D$2:D$500, SMALL(IF((Company_Latest!$L$2:$L$500="OVERDUE (IDLE)")+(Company_Latest!$L$2:$L$500="WARNING (3-14 Days)"), ROW(Company_Latest!$L$2:$L$500)-1), 79)), "")</f>
        <v/>
      </c>
      <c r="D88" s="9">
        <f>IFERROR(INDEX(Company_Latest!E$2:E$500, SMALL(IF((Company_Latest!$L$2:$L$500="OVERDUE (IDLE)")+(Company_Latest!$L$2:$L$500="WARNING (3-14 Days)"), ROW(Company_Latest!$L$2:$L$500)-1), 79)), "")</f>
        <v/>
      </c>
      <c r="E88" s="8">
        <f>IFERROR(INDEX(Company_Latest!G$2:G$500, SMALL(IF((Company_Latest!$L$2:$L$500="OVERDUE (IDLE)")+(Company_Latest!$L$2:$L$500="WARNING (3-14 Days)"), ROW(Company_Latest!$L$2:$L$500)-1), 79)), "")</f>
        <v/>
      </c>
      <c r="F88" s="8">
        <f>IFERROR(INDEX(Company_Latest!H$2:H$500, SMALL(IF((Company_Latest!$L$2:$L$500="OVERDUE (IDLE)")+(Company_Latest!$L$2:$L$500="WARNING (3-14 Days)"), ROW(Company_Latest!$L$2:$L$500)-1), 79)), "")</f>
        <v/>
      </c>
      <c r="G88" s="9">
        <f>IFERROR(INDEX(Company_Latest!K$2:K$500, SMALL(IF((Company_Latest!$L$2:$L$500="OVERDUE (IDLE)")+(Company_Latest!$L$2:$L$500="WARNING (3-14 Days)"), ROW(Company_Latest!$L$2:$L$500)-1), 79)), "")</f>
        <v/>
      </c>
      <c r="H88" s="8">
        <f>IFERROR(INDEX(Company_Latest!L$2:L$500, SMALL(IF((Company_Latest!$L$2:$L$500="OVERDUE (IDLE)")+(Company_Latest!$L$2:$L$500="WARNING (3-14 Days)"), ROW(Company_Latest!$L$2:$L$500)-1), 79)), "")</f>
        <v/>
      </c>
    </row>
    <row r="89">
      <c r="A89" s="8">
        <f>IF(B89&lt;&gt;"", 80, "")</f>
        <v/>
      </c>
      <c r="B89" s="9">
        <f>IFERROR(INDEX(Company_Latest!C$2:C$500, SMALL(IF((Company_Latest!$L$2:$L$500="OVERDUE (IDLE)")+(Company_Latest!$L$2:$L$500="WARNING (3-14 Days)"), ROW(Company_Latest!$L$2:$L$500)-1), 80)), "")</f>
        <v/>
      </c>
      <c r="C89" s="8">
        <f>IFERROR(INDEX(Company_Latest!D$2:D$500, SMALL(IF((Company_Latest!$L$2:$L$500="OVERDUE (IDLE)")+(Company_Latest!$L$2:$L$500="WARNING (3-14 Days)"), ROW(Company_Latest!$L$2:$L$500)-1), 80)), "")</f>
        <v/>
      </c>
      <c r="D89" s="9">
        <f>IFERROR(INDEX(Company_Latest!E$2:E$500, SMALL(IF((Company_Latest!$L$2:$L$500="OVERDUE (IDLE)")+(Company_Latest!$L$2:$L$500="WARNING (3-14 Days)"), ROW(Company_Latest!$L$2:$L$500)-1), 80)), "")</f>
        <v/>
      </c>
      <c r="E89" s="8">
        <f>IFERROR(INDEX(Company_Latest!G$2:G$500, SMALL(IF((Company_Latest!$L$2:$L$500="OVERDUE (IDLE)")+(Company_Latest!$L$2:$L$500="WARNING (3-14 Days)"), ROW(Company_Latest!$L$2:$L$500)-1), 80)), "")</f>
        <v/>
      </c>
      <c r="F89" s="8">
        <f>IFERROR(INDEX(Company_Latest!H$2:H$500, SMALL(IF((Company_Latest!$L$2:$L$500="OVERDUE (IDLE)")+(Company_Latest!$L$2:$L$500="WARNING (3-14 Days)"), ROW(Company_Latest!$L$2:$L$500)-1), 80)), "")</f>
        <v/>
      </c>
      <c r="G89" s="9">
        <f>IFERROR(INDEX(Company_Latest!K$2:K$500, SMALL(IF((Company_Latest!$L$2:$L$500="OVERDUE (IDLE)")+(Company_Latest!$L$2:$L$500="WARNING (3-14 Days)"), ROW(Company_Latest!$L$2:$L$500)-1), 80)), "")</f>
        <v/>
      </c>
      <c r="H89" s="8">
        <f>IFERROR(INDEX(Company_Latest!L$2:L$500, SMALL(IF((Company_Latest!$L$2:$L$500="OVERDUE (IDLE)")+(Company_Latest!$L$2:$L$500="WARNING (3-14 Days)"), ROW(Company_Latest!$L$2:$L$500)-1), 80)), "")</f>
        <v/>
      </c>
    </row>
    <row r="90">
      <c r="A90" s="8">
        <f>IF(B90&lt;&gt;"", 81, "")</f>
        <v/>
      </c>
      <c r="B90" s="9">
        <f>IFERROR(INDEX(Company_Latest!C$2:C$500, SMALL(IF((Company_Latest!$L$2:$L$500="OVERDUE (IDLE)")+(Company_Latest!$L$2:$L$500="WARNING (3-14 Days)"), ROW(Company_Latest!$L$2:$L$500)-1), 81)), "")</f>
        <v/>
      </c>
      <c r="C90" s="8">
        <f>IFERROR(INDEX(Company_Latest!D$2:D$500, SMALL(IF((Company_Latest!$L$2:$L$500="OVERDUE (IDLE)")+(Company_Latest!$L$2:$L$500="WARNING (3-14 Days)"), ROW(Company_Latest!$L$2:$L$500)-1), 81)), "")</f>
        <v/>
      </c>
      <c r="D90" s="9">
        <f>IFERROR(INDEX(Company_Latest!E$2:E$500, SMALL(IF((Company_Latest!$L$2:$L$500="OVERDUE (IDLE)")+(Company_Latest!$L$2:$L$500="WARNING (3-14 Days)"), ROW(Company_Latest!$L$2:$L$500)-1), 81)), "")</f>
        <v/>
      </c>
      <c r="E90" s="8">
        <f>IFERROR(INDEX(Company_Latest!G$2:G$500, SMALL(IF((Company_Latest!$L$2:$L$500="OVERDUE (IDLE)")+(Company_Latest!$L$2:$L$500="WARNING (3-14 Days)"), ROW(Company_Latest!$L$2:$L$500)-1), 81)), "")</f>
        <v/>
      </c>
      <c r="F90" s="8">
        <f>IFERROR(INDEX(Company_Latest!H$2:H$500, SMALL(IF((Company_Latest!$L$2:$L$500="OVERDUE (IDLE)")+(Company_Latest!$L$2:$L$500="WARNING (3-14 Days)"), ROW(Company_Latest!$L$2:$L$500)-1), 81)), "")</f>
        <v/>
      </c>
      <c r="G90" s="9">
        <f>IFERROR(INDEX(Company_Latest!K$2:K$500, SMALL(IF((Company_Latest!$L$2:$L$500="OVERDUE (IDLE)")+(Company_Latest!$L$2:$L$500="WARNING (3-14 Days)"), ROW(Company_Latest!$L$2:$L$500)-1), 81)), "")</f>
        <v/>
      </c>
      <c r="H90" s="8">
        <f>IFERROR(INDEX(Company_Latest!L$2:L$500, SMALL(IF((Company_Latest!$L$2:$L$500="OVERDUE (IDLE)")+(Company_Latest!$L$2:$L$500="WARNING (3-14 Days)"), ROW(Company_Latest!$L$2:$L$500)-1), 81)), "")</f>
        <v/>
      </c>
    </row>
    <row r="91">
      <c r="A91" s="8">
        <f>IF(B91&lt;&gt;"", 82, "")</f>
        <v/>
      </c>
      <c r="B91" s="9">
        <f>IFERROR(INDEX(Company_Latest!C$2:C$500, SMALL(IF((Company_Latest!$L$2:$L$500="OVERDUE (IDLE)")+(Company_Latest!$L$2:$L$500="WARNING (3-14 Days)"), ROW(Company_Latest!$L$2:$L$500)-1), 82)), "")</f>
        <v/>
      </c>
      <c r="C91" s="8">
        <f>IFERROR(INDEX(Company_Latest!D$2:D$500, SMALL(IF((Company_Latest!$L$2:$L$500="OVERDUE (IDLE)")+(Company_Latest!$L$2:$L$500="WARNING (3-14 Days)"), ROW(Company_Latest!$L$2:$L$500)-1), 82)), "")</f>
        <v/>
      </c>
      <c r="D91" s="9">
        <f>IFERROR(INDEX(Company_Latest!E$2:E$500, SMALL(IF((Company_Latest!$L$2:$L$500="OVERDUE (IDLE)")+(Company_Latest!$L$2:$L$500="WARNING (3-14 Days)"), ROW(Company_Latest!$L$2:$L$500)-1), 82)), "")</f>
        <v/>
      </c>
      <c r="E91" s="8">
        <f>IFERROR(INDEX(Company_Latest!G$2:G$500, SMALL(IF((Company_Latest!$L$2:$L$500="OVERDUE (IDLE)")+(Company_Latest!$L$2:$L$500="WARNING (3-14 Days)"), ROW(Company_Latest!$L$2:$L$500)-1), 82)), "")</f>
        <v/>
      </c>
      <c r="F91" s="8">
        <f>IFERROR(INDEX(Company_Latest!H$2:H$500, SMALL(IF((Company_Latest!$L$2:$L$500="OVERDUE (IDLE)")+(Company_Latest!$L$2:$L$500="WARNING (3-14 Days)"), ROW(Company_Latest!$L$2:$L$500)-1), 82)), "")</f>
        <v/>
      </c>
      <c r="G91" s="9">
        <f>IFERROR(INDEX(Company_Latest!K$2:K$500, SMALL(IF((Company_Latest!$L$2:$L$500="OVERDUE (IDLE)")+(Company_Latest!$L$2:$L$500="WARNING (3-14 Days)"), ROW(Company_Latest!$L$2:$L$500)-1), 82)), "")</f>
        <v/>
      </c>
      <c r="H91" s="8">
        <f>IFERROR(INDEX(Company_Latest!L$2:L$500, SMALL(IF((Company_Latest!$L$2:$L$500="OVERDUE (IDLE)")+(Company_Latest!$L$2:$L$500="WARNING (3-14 Days)"), ROW(Company_Latest!$L$2:$L$500)-1), 82)), "")</f>
        <v/>
      </c>
    </row>
    <row r="92">
      <c r="A92" s="8">
        <f>IF(B92&lt;&gt;"", 83, "")</f>
        <v/>
      </c>
      <c r="B92" s="9">
        <f>IFERROR(INDEX(Company_Latest!C$2:C$500, SMALL(IF((Company_Latest!$L$2:$L$500="OVERDUE (IDLE)")+(Company_Latest!$L$2:$L$500="WARNING (3-14 Days)"), ROW(Company_Latest!$L$2:$L$500)-1), 83)), "")</f>
        <v/>
      </c>
      <c r="C92" s="8">
        <f>IFERROR(INDEX(Company_Latest!D$2:D$500, SMALL(IF((Company_Latest!$L$2:$L$500="OVERDUE (IDLE)")+(Company_Latest!$L$2:$L$500="WARNING (3-14 Days)"), ROW(Company_Latest!$L$2:$L$500)-1), 83)), "")</f>
        <v/>
      </c>
      <c r="D92" s="9">
        <f>IFERROR(INDEX(Company_Latest!E$2:E$500, SMALL(IF((Company_Latest!$L$2:$L$500="OVERDUE (IDLE)")+(Company_Latest!$L$2:$L$500="WARNING (3-14 Days)"), ROW(Company_Latest!$L$2:$L$500)-1), 83)), "")</f>
        <v/>
      </c>
      <c r="E92" s="8">
        <f>IFERROR(INDEX(Company_Latest!G$2:G$500, SMALL(IF((Company_Latest!$L$2:$L$500="OVERDUE (IDLE)")+(Company_Latest!$L$2:$L$500="WARNING (3-14 Days)"), ROW(Company_Latest!$L$2:$L$500)-1), 83)), "")</f>
        <v/>
      </c>
      <c r="F92" s="8">
        <f>IFERROR(INDEX(Company_Latest!H$2:H$500, SMALL(IF((Company_Latest!$L$2:$L$500="OVERDUE (IDLE)")+(Company_Latest!$L$2:$L$500="WARNING (3-14 Days)"), ROW(Company_Latest!$L$2:$L$500)-1), 83)), "")</f>
        <v/>
      </c>
      <c r="G92" s="9">
        <f>IFERROR(INDEX(Company_Latest!K$2:K$500, SMALL(IF((Company_Latest!$L$2:$L$500="OVERDUE (IDLE)")+(Company_Latest!$L$2:$L$500="WARNING (3-14 Days)"), ROW(Company_Latest!$L$2:$L$500)-1), 83)), "")</f>
        <v/>
      </c>
      <c r="H92" s="8">
        <f>IFERROR(INDEX(Company_Latest!L$2:L$500, SMALL(IF((Company_Latest!$L$2:$L$500="OVERDUE (IDLE)")+(Company_Latest!$L$2:$L$500="WARNING (3-14 Days)"), ROW(Company_Latest!$L$2:$L$500)-1), 83)), "")</f>
        <v/>
      </c>
    </row>
    <row r="93">
      <c r="A93" s="8">
        <f>IF(B93&lt;&gt;"", 84, "")</f>
        <v/>
      </c>
      <c r="B93" s="9">
        <f>IFERROR(INDEX(Company_Latest!C$2:C$500, SMALL(IF((Company_Latest!$L$2:$L$500="OVERDUE (IDLE)")+(Company_Latest!$L$2:$L$500="WARNING (3-14 Days)"), ROW(Company_Latest!$L$2:$L$500)-1), 84)), "")</f>
        <v/>
      </c>
      <c r="C93" s="8">
        <f>IFERROR(INDEX(Company_Latest!D$2:D$500, SMALL(IF((Company_Latest!$L$2:$L$500="OVERDUE (IDLE)")+(Company_Latest!$L$2:$L$500="WARNING (3-14 Days)"), ROW(Company_Latest!$L$2:$L$500)-1), 84)), "")</f>
        <v/>
      </c>
      <c r="D93" s="9">
        <f>IFERROR(INDEX(Company_Latest!E$2:E$500, SMALL(IF((Company_Latest!$L$2:$L$500="OVERDUE (IDLE)")+(Company_Latest!$L$2:$L$500="WARNING (3-14 Days)"), ROW(Company_Latest!$L$2:$L$500)-1), 84)), "")</f>
        <v/>
      </c>
      <c r="E93" s="8">
        <f>IFERROR(INDEX(Company_Latest!G$2:G$500, SMALL(IF((Company_Latest!$L$2:$L$500="OVERDUE (IDLE)")+(Company_Latest!$L$2:$L$500="WARNING (3-14 Days)"), ROW(Company_Latest!$L$2:$L$500)-1), 84)), "")</f>
        <v/>
      </c>
      <c r="F93" s="8">
        <f>IFERROR(INDEX(Company_Latest!H$2:H$500, SMALL(IF((Company_Latest!$L$2:$L$500="OVERDUE (IDLE)")+(Company_Latest!$L$2:$L$500="WARNING (3-14 Days)"), ROW(Company_Latest!$L$2:$L$500)-1), 84)), "")</f>
        <v/>
      </c>
      <c r="G93" s="9">
        <f>IFERROR(INDEX(Company_Latest!K$2:K$500, SMALL(IF((Company_Latest!$L$2:$L$500="OVERDUE (IDLE)")+(Company_Latest!$L$2:$L$500="WARNING (3-14 Days)"), ROW(Company_Latest!$L$2:$L$500)-1), 84)), "")</f>
        <v/>
      </c>
      <c r="H93" s="8">
        <f>IFERROR(INDEX(Company_Latest!L$2:L$500, SMALL(IF((Company_Latest!$L$2:$L$500="OVERDUE (IDLE)")+(Company_Latest!$L$2:$L$500="WARNING (3-14 Days)"), ROW(Company_Latest!$L$2:$L$500)-1), 84)), "")</f>
        <v/>
      </c>
    </row>
    <row r="94">
      <c r="A94" s="8">
        <f>IF(B94&lt;&gt;"", 85, "")</f>
        <v/>
      </c>
      <c r="B94" s="9">
        <f>IFERROR(INDEX(Company_Latest!C$2:C$500, SMALL(IF((Company_Latest!$L$2:$L$500="OVERDUE (IDLE)")+(Company_Latest!$L$2:$L$500="WARNING (3-14 Days)"), ROW(Company_Latest!$L$2:$L$500)-1), 85)), "")</f>
        <v/>
      </c>
      <c r="C94" s="8">
        <f>IFERROR(INDEX(Company_Latest!D$2:D$500, SMALL(IF((Company_Latest!$L$2:$L$500="OVERDUE (IDLE)")+(Company_Latest!$L$2:$L$500="WARNING (3-14 Days)"), ROW(Company_Latest!$L$2:$L$500)-1), 85)), "")</f>
        <v/>
      </c>
      <c r="D94" s="9">
        <f>IFERROR(INDEX(Company_Latest!E$2:E$500, SMALL(IF((Company_Latest!$L$2:$L$500="OVERDUE (IDLE)")+(Company_Latest!$L$2:$L$500="WARNING (3-14 Days)"), ROW(Company_Latest!$L$2:$L$500)-1), 85)), "")</f>
        <v/>
      </c>
      <c r="E94" s="8">
        <f>IFERROR(INDEX(Company_Latest!G$2:G$500, SMALL(IF((Company_Latest!$L$2:$L$500="OVERDUE (IDLE)")+(Company_Latest!$L$2:$L$500="WARNING (3-14 Days)"), ROW(Company_Latest!$L$2:$L$500)-1), 85)), "")</f>
        <v/>
      </c>
      <c r="F94" s="8">
        <f>IFERROR(INDEX(Company_Latest!H$2:H$500, SMALL(IF((Company_Latest!$L$2:$L$500="OVERDUE (IDLE)")+(Company_Latest!$L$2:$L$500="WARNING (3-14 Days)"), ROW(Company_Latest!$L$2:$L$500)-1), 85)), "")</f>
        <v/>
      </c>
      <c r="G94" s="9">
        <f>IFERROR(INDEX(Company_Latest!K$2:K$500, SMALL(IF((Company_Latest!$L$2:$L$500="OVERDUE (IDLE)")+(Company_Latest!$L$2:$L$500="WARNING (3-14 Days)"), ROW(Company_Latest!$L$2:$L$500)-1), 85)), "")</f>
        <v/>
      </c>
      <c r="H94" s="8">
        <f>IFERROR(INDEX(Company_Latest!L$2:L$500, SMALL(IF((Company_Latest!$L$2:$L$500="OVERDUE (IDLE)")+(Company_Latest!$L$2:$L$500="WARNING (3-14 Days)"), ROW(Company_Latest!$L$2:$L$500)-1), 85)), "")</f>
        <v/>
      </c>
    </row>
    <row r="95">
      <c r="A95" s="8">
        <f>IF(B95&lt;&gt;"", 86, "")</f>
        <v/>
      </c>
      <c r="B95" s="9">
        <f>IFERROR(INDEX(Company_Latest!C$2:C$500, SMALL(IF((Company_Latest!$L$2:$L$500="OVERDUE (IDLE)")+(Company_Latest!$L$2:$L$500="WARNING (3-14 Days)"), ROW(Company_Latest!$L$2:$L$500)-1), 86)), "")</f>
        <v/>
      </c>
      <c r="C95" s="8">
        <f>IFERROR(INDEX(Company_Latest!D$2:D$500, SMALL(IF((Company_Latest!$L$2:$L$500="OVERDUE (IDLE)")+(Company_Latest!$L$2:$L$500="WARNING (3-14 Days)"), ROW(Company_Latest!$L$2:$L$500)-1), 86)), "")</f>
        <v/>
      </c>
      <c r="D95" s="9">
        <f>IFERROR(INDEX(Company_Latest!E$2:E$500, SMALL(IF((Company_Latest!$L$2:$L$500="OVERDUE (IDLE)")+(Company_Latest!$L$2:$L$500="WARNING (3-14 Days)"), ROW(Company_Latest!$L$2:$L$500)-1), 86)), "")</f>
        <v/>
      </c>
      <c r="E95" s="8">
        <f>IFERROR(INDEX(Company_Latest!G$2:G$500, SMALL(IF((Company_Latest!$L$2:$L$500="OVERDUE (IDLE)")+(Company_Latest!$L$2:$L$500="WARNING (3-14 Days)"), ROW(Company_Latest!$L$2:$L$500)-1), 86)), "")</f>
        <v/>
      </c>
      <c r="F95" s="8">
        <f>IFERROR(INDEX(Company_Latest!H$2:H$500, SMALL(IF((Company_Latest!$L$2:$L$500="OVERDUE (IDLE)")+(Company_Latest!$L$2:$L$500="WARNING (3-14 Days)"), ROW(Company_Latest!$L$2:$L$500)-1), 86)), "")</f>
        <v/>
      </c>
      <c r="G95" s="9">
        <f>IFERROR(INDEX(Company_Latest!K$2:K$500, SMALL(IF((Company_Latest!$L$2:$L$500="OVERDUE (IDLE)")+(Company_Latest!$L$2:$L$500="WARNING (3-14 Days)"), ROW(Company_Latest!$L$2:$L$500)-1), 86)), "")</f>
        <v/>
      </c>
      <c r="H95" s="8">
        <f>IFERROR(INDEX(Company_Latest!L$2:L$500, SMALL(IF((Company_Latest!$L$2:$L$500="OVERDUE (IDLE)")+(Company_Latest!$L$2:$L$500="WARNING (3-14 Days)"), ROW(Company_Latest!$L$2:$L$500)-1), 86)), "")</f>
        <v/>
      </c>
    </row>
    <row r="96">
      <c r="A96" s="8">
        <f>IF(B96&lt;&gt;"", 87, "")</f>
        <v/>
      </c>
      <c r="B96" s="9">
        <f>IFERROR(INDEX(Company_Latest!C$2:C$500, SMALL(IF((Company_Latest!$L$2:$L$500="OVERDUE (IDLE)")+(Company_Latest!$L$2:$L$500="WARNING (3-14 Days)"), ROW(Company_Latest!$L$2:$L$500)-1), 87)), "")</f>
        <v/>
      </c>
      <c r="C96" s="8">
        <f>IFERROR(INDEX(Company_Latest!D$2:D$500, SMALL(IF((Company_Latest!$L$2:$L$500="OVERDUE (IDLE)")+(Company_Latest!$L$2:$L$500="WARNING (3-14 Days)"), ROW(Company_Latest!$L$2:$L$500)-1), 87)), "")</f>
        <v/>
      </c>
      <c r="D96" s="9">
        <f>IFERROR(INDEX(Company_Latest!E$2:E$500, SMALL(IF((Company_Latest!$L$2:$L$500="OVERDUE (IDLE)")+(Company_Latest!$L$2:$L$500="WARNING (3-14 Days)"), ROW(Company_Latest!$L$2:$L$500)-1), 87)), "")</f>
        <v/>
      </c>
      <c r="E96" s="8">
        <f>IFERROR(INDEX(Company_Latest!G$2:G$500, SMALL(IF((Company_Latest!$L$2:$L$500="OVERDUE (IDLE)")+(Company_Latest!$L$2:$L$500="WARNING (3-14 Days)"), ROW(Company_Latest!$L$2:$L$500)-1), 87)), "")</f>
        <v/>
      </c>
      <c r="F96" s="8">
        <f>IFERROR(INDEX(Company_Latest!H$2:H$500, SMALL(IF((Company_Latest!$L$2:$L$500="OVERDUE (IDLE)")+(Company_Latest!$L$2:$L$500="WARNING (3-14 Days)"), ROW(Company_Latest!$L$2:$L$500)-1), 87)), "")</f>
        <v/>
      </c>
      <c r="G96" s="9">
        <f>IFERROR(INDEX(Company_Latest!K$2:K$500, SMALL(IF((Company_Latest!$L$2:$L$500="OVERDUE (IDLE)")+(Company_Latest!$L$2:$L$500="WARNING (3-14 Days)"), ROW(Company_Latest!$L$2:$L$500)-1), 87)), "")</f>
        <v/>
      </c>
      <c r="H96" s="8">
        <f>IFERROR(INDEX(Company_Latest!L$2:L$500, SMALL(IF((Company_Latest!$L$2:$L$500="OVERDUE (IDLE)")+(Company_Latest!$L$2:$L$500="WARNING (3-14 Days)"), ROW(Company_Latest!$L$2:$L$500)-1), 87)), "")</f>
        <v/>
      </c>
    </row>
    <row r="97">
      <c r="A97" s="8">
        <f>IF(B97&lt;&gt;"", 88, "")</f>
        <v/>
      </c>
      <c r="B97" s="9">
        <f>IFERROR(INDEX(Company_Latest!C$2:C$500, SMALL(IF((Company_Latest!$L$2:$L$500="OVERDUE (IDLE)")+(Company_Latest!$L$2:$L$500="WARNING (3-14 Days)"), ROW(Company_Latest!$L$2:$L$500)-1), 88)), "")</f>
        <v/>
      </c>
      <c r="C97" s="8">
        <f>IFERROR(INDEX(Company_Latest!D$2:D$500, SMALL(IF((Company_Latest!$L$2:$L$500="OVERDUE (IDLE)")+(Company_Latest!$L$2:$L$500="WARNING (3-14 Days)"), ROW(Company_Latest!$L$2:$L$500)-1), 88)), "")</f>
        <v/>
      </c>
      <c r="D97" s="9">
        <f>IFERROR(INDEX(Company_Latest!E$2:E$500, SMALL(IF((Company_Latest!$L$2:$L$500="OVERDUE (IDLE)")+(Company_Latest!$L$2:$L$500="WARNING (3-14 Days)"), ROW(Company_Latest!$L$2:$L$500)-1), 88)), "")</f>
        <v/>
      </c>
      <c r="E97" s="8">
        <f>IFERROR(INDEX(Company_Latest!G$2:G$500, SMALL(IF((Company_Latest!$L$2:$L$500="OVERDUE (IDLE)")+(Company_Latest!$L$2:$L$500="WARNING (3-14 Days)"), ROW(Company_Latest!$L$2:$L$500)-1), 88)), "")</f>
        <v/>
      </c>
      <c r="F97" s="8">
        <f>IFERROR(INDEX(Company_Latest!H$2:H$500, SMALL(IF((Company_Latest!$L$2:$L$500="OVERDUE (IDLE)")+(Company_Latest!$L$2:$L$500="WARNING (3-14 Days)"), ROW(Company_Latest!$L$2:$L$500)-1), 88)), "")</f>
        <v/>
      </c>
      <c r="G97" s="9">
        <f>IFERROR(INDEX(Company_Latest!K$2:K$500, SMALL(IF((Company_Latest!$L$2:$L$500="OVERDUE (IDLE)")+(Company_Latest!$L$2:$L$500="WARNING (3-14 Days)"), ROW(Company_Latest!$L$2:$L$500)-1), 88)), "")</f>
        <v/>
      </c>
      <c r="H97" s="8">
        <f>IFERROR(INDEX(Company_Latest!L$2:L$500, SMALL(IF((Company_Latest!$L$2:$L$500="OVERDUE (IDLE)")+(Company_Latest!$L$2:$L$500="WARNING (3-14 Days)"), ROW(Company_Latest!$L$2:$L$500)-1), 88)), "")</f>
        <v/>
      </c>
    </row>
    <row r="98">
      <c r="A98" s="8">
        <f>IF(B98&lt;&gt;"", 89, "")</f>
        <v/>
      </c>
      <c r="B98" s="9">
        <f>IFERROR(INDEX(Company_Latest!C$2:C$500, SMALL(IF((Company_Latest!$L$2:$L$500="OVERDUE (IDLE)")+(Company_Latest!$L$2:$L$500="WARNING (3-14 Days)"), ROW(Company_Latest!$L$2:$L$500)-1), 89)), "")</f>
        <v/>
      </c>
      <c r="C98" s="8">
        <f>IFERROR(INDEX(Company_Latest!D$2:D$500, SMALL(IF((Company_Latest!$L$2:$L$500="OVERDUE (IDLE)")+(Company_Latest!$L$2:$L$500="WARNING (3-14 Days)"), ROW(Company_Latest!$L$2:$L$500)-1), 89)), "")</f>
        <v/>
      </c>
      <c r="D98" s="9">
        <f>IFERROR(INDEX(Company_Latest!E$2:E$500, SMALL(IF((Company_Latest!$L$2:$L$500="OVERDUE (IDLE)")+(Company_Latest!$L$2:$L$500="WARNING (3-14 Days)"), ROW(Company_Latest!$L$2:$L$500)-1), 89)), "")</f>
        <v/>
      </c>
      <c r="E98" s="8">
        <f>IFERROR(INDEX(Company_Latest!G$2:G$500, SMALL(IF((Company_Latest!$L$2:$L$500="OVERDUE (IDLE)")+(Company_Latest!$L$2:$L$500="WARNING (3-14 Days)"), ROW(Company_Latest!$L$2:$L$500)-1), 89)), "")</f>
        <v/>
      </c>
      <c r="F98" s="8">
        <f>IFERROR(INDEX(Company_Latest!H$2:H$500, SMALL(IF((Company_Latest!$L$2:$L$500="OVERDUE (IDLE)")+(Company_Latest!$L$2:$L$500="WARNING (3-14 Days)"), ROW(Company_Latest!$L$2:$L$500)-1), 89)), "")</f>
        <v/>
      </c>
      <c r="G98" s="9">
        <f>IFERROR(INDEX(Company_Latest!K$2:K$500, SMALL(IF((Company_Latest!$L$2:$L$500="OVERDUE (IDLE)")+(Company_Latest!$L$2:$L$500="WARNING (3-14 Days)"), ROW(Company_Latest!$L$2:$L$500)-1), 89)), "")</f>
        <v/>
      </c>
      <c r="H98" s="8">
        <f>IFERROR(INDEX(Company_Latest!L$2:L$500, SMALL(IF((Company_Latest!$L$2:$L$500="OVERDUE (IDLE)")+(Company_Latest!$L$2:$L$500="WARNING (3-14 Days)"), ROW(Company_Latest!$L$2:$L$500)-1), 89)), "")</f>
        <v/>
      </c>
    </row>
    <row r="99">
      <c r="A99" s="8">
        <f>IF(B99&lt;&gt;"", 90, "")</f>
        <v/>
      </c>
      <c r="B99" s="9">
        <f>IFERROR(INDEX(Company_Latest!C$2:C$500, SMALL(IF((Company_Latest!$L$2:$L$500="OVERDUE (IDLE)")+(Company_Latest!$L$2:$L$500="WARNING (3-14 Days)"), ROW(Company_Latest!$L$2:$L$500)-1), 90)), "")</f>
        <v/>
      </c>
      <c r="C99" s="8">
        <f>IFERROR(INDEX(Company_Latest!D$2:D$500, SMALL(IF((Company_Latest!$L$2:$L$500="OVERDUE (IDLE)")+(Company_Latest!$L$2:$L$500="WARNING (3-14 Days)"), ROW(Company_Latest!$L$2:$L$500)-1), 90)), "")</f>
        <v/>
      </c>
      <c r="D99" s="9">
        <f>IFERROR(INDEX(Company_Latest!E$2:E$500, SMALL(IF((Company_Latest!$L$2:$L$500="OVERDUE (IDLE)")+(Company_Latest!$L$2:$L$500="WARNING (3-14 Days)"), ROW(Company_Latest!$L$2:$L$500)-1), 90)), "")</f>
        <v/>
      </c>
      <c r="E99" s="8">
        <f>IFERROR(INDEX(Company_Latest!G$2:G$500, SMALL(IF((Company_Latest!$L$2:$L$500="OVERDUE (IDLE)")+(Company_Latest!$L$2:$L$500="WARNING (3-14 Days)"), ROW(Company_Latest!$L$2:$L$500)-1), 90)), "")</f>
        <v/>
      </c>
      <c r="F99" s="8">
        <f>IFERROR(INDEX(Company_Latest!H$2:H$500, SMALL(IF((Company_Latest!$L$2:$L$500="OVERDUE (IDLE)")+(Company_Latest!$L$2:$L$500="WARNING (3-14 Days)"), ROW(Company_Latest!$L$2:$L$500)-1), 90)), "")</f>
        <v/>
      </c>
      <c r="G99" s="9">
        <f>IFERROR(INDEX(Company_Latest!K$2:K$500, SMALL(IF((Company_Latest!$L$2:$L$500="OVERDUE (IDLE)")+(Company_Latest!$L$2:$L$500="WARNING (3-14 Days)"), ROW(Company_Latest!$L$2:$L$500)-1), 90)), "")</f>
        <v/>
      </c>
      <c r="H99" s="8">
        <f>IFERROR(INDEX(Company_Latest!L$2:L$500, SMALL(IF((Company_Latest!$L$2:$L$500="OVERDUE (IDLE)")+(Company_Latest!$L$2:$L$500="WARNING (3-14 Days)"), ROW(Company_Latest!$L$2:$L$500)-1), 90)), "")</f>
        <v/>
      </c>
    </row>
    <row r="100">
      <c r="A100" s="8">
        <f>IF(B100&lt;&gt;"", 91, "")</f>
        <v/>
      </c>
      <c r="B100" s="9">
        <f>IFERROR(INDEX(Company_Latest!C$2:C$500, SMALL(IF((Company_Latest!$L$2:$L$500="OVERDUE (IDLE)")+(Company_Latest!$L$2:$L$500="WARNING (3-14 Days)"), ROW(Company_Latest!$L$2:$L$500)-1), 91)), "")</f>
        <v/>
      </c>
      <c r="C100" s="8">
        <f>IFERROR(INDEX(Company_Latest!D$2:D$500, SMALL(IF((Company_Latest!$L$2:$L$500="OVERDUE (IDLE)")+(Company_Latest!$L$2:$L$500="WARNING (3-14 Days)"), ROW(Company_Latest!$L$2:$L$500)-1), 91)), "")</f>
        <v/>
      </c>
      <c r="D100" s="9">
        <f>IFERROR(INDEX(Company_Latest!E$2:E$500, SMALL(IF((Company_Latest!$L$2:$L$500="OVERDUE (IDLE)")+(Company_Latest!$L$2:$L$500="WARNING (3-14 Days)"), ROW(Company_Latest!$L$2:$L$500)-1), 91)), "")</f>
        <v/>
      </c>
      <c r="E100" s="8">
        <f>IFERROR(INDEX(Company_Latest!G$2:G$500, SMALL(IF((Company_Latest!$L$2:$L$500="OVERDUE (IDLE)")+(Company_Latest!$L$2:$L$500="WARNING (3-14 Days)"), ROW(Company_Latest!$L$2:$L$500)-1), 91)), "")</f>
        <v/>
      </c>
      <c r="F100" s="8">
        <f>IFERROR(INDEX(Company_Latest!H$2:H$500, SMALL(IF((Company_Latest!$L$2:$L$500="OVERDUE (IDLE)")+(Company_Latest!$L$2:$L$500="WARNING (3-14 Days)"), ROW(Company_Latest!$L$2:$L$500)-1), 91)), "")</f>
        <v/>
      </c>
      <c r="G100" s="9">
        <f>IFERROR(INDEX(Company_Latest!K$2:K$500, SMALL(IF((Company_Latest!$L$2:$L$500="OVERDUE (IDLE)")+(Company_Latest!$L$2:$L$500="WARNING (3-14 Days)"), ROW(Company_Latest!$L$2:$L$500)-1), 91)), "")</f>
        <v/>
      </c>
      <c r="H100" s="8">
        <f>IFERROR(INDEX(Company_Latest!L$2:L$500, SMALL(IF((Company_Latest!$L$2:$L$500="OVERDUE (IDLE)")+(Company_Latest!$L$2:$L$500="WARNING (3-14 Days)"), ROW(Company_Latest!$L$2:$L$500)-1), 91)), "")</f>
        <v/>
      </c>
    </row>
    <row r="101">
      <c r="A101" s="8">
        <f>IF(B101&lt;&gt;"", 92, "")</f>
        <v/>
      </c>
      <c r="B101" s="9">
        <f>IFERROR(INDEX(Company_Latest!C$2:C$500, SMALL(IF((Company_Latest!$L$2:$L$500="OVERDUE (IDLE)")+(Company_Latest!$L$2:$L$500="WARNING (3-14 Days)"), ROW(Company_Latest!$L$2:$L$500)-1), 92)), "")</f>
        <v/>
      </c>
      <c r="C101" s="8">
        <f>IFERROR(INDEX(Company_Latest!D$2:D$500, SMALL(IF((Company_Latest!$L$2:$L$500="OVERDUE (IDLE)")+(Company_Latest!$L$2:$L$500="WARNING (3-14 Days)"), ROW(Company_Latest!$L$2:$L$500)-1), 92)), "")</f>
        <v/>
      </c>
      <c r="D101" s="9">
        <f>IFERROR(INDEX(Company_Latest!E$2:E$500, SMALL(IF((Company_Latest!$L$2:$L$500="OVERDUE (IDLE)")+(Company_Latest!$L$2:$L$500="WARNING (3-14 Days)"), ROW(Company_Latest!$L$2:$L$500)-1), 92)), "")</f>
        <v/>
      </c>
      <c r="E101" s="8">
        <f>IFERROR(INDEX(Company_Latest!G$2:G$500, SMALL(IF((Company_Latest!$L$2:$L$500="OVERDUE (IDLE)")+(Company_Latest!$L$2:$L$500="WARNING (3-14 Days)"), ROW(Company_Latest!$L$2:$L$500)-1), 92)), "")</f>
        <v/>
      </c>
      <c r="F101" s="8">
        <f>IFERROR(INDEX(Company_Latest!H$2:H$500, SMALL(IF((Company_Latest!$L$2:$L$500="OVERDUE (IDLE)")+(Company_Latest!$L$2:$L$500="WARNING (3-14 Days)"), ROW(Company_Latest!$L$2:$L$500)-1), 92)), "")</f>
        <v/>
      </c>
      <c r="G101" s="9">
        <f>IFERROR(INDEX(Company_Latest!K$2:K$500, SMALL(IF((Company_Latest!$L$2:$L$500="OVERDUE (IDLE)")+(Company_Latest!$L$2:$L$500="WARNING (3-14 Days)"), ROW(Company_Latest!$L$2:$L$500)-1), 92)), "")</f>
        <v/>
      </c>
      <c r="H101" s="8">
        <f>IFERROR(INDEX(Company_Latest!L$2:L$500, SMALL(IF((Company_Latest!$L$2:$L$500="OVERDUE (IDLE)")+(Company_Latest!$L$2:$L$500="WARNING (3-14 Days)"), ROW(Company_Latest!$L$2:$L$500)-1), 92)), "")</f>
        <v/>
      </c>
    </row>
    <row r="102">
      <c r="A102" s="8">
        <f>IF(B102&lt;&gt;"", 93, "")</f>
        <v/>
      </c>
      <c r="B102" s="9">
        <f>IFERROR(INDEX(Company_Latest!C$2:C$500, SMALL(IF((Company_Latest!$L$2:$L$500="OVERDUE (IDLE)")+(Company_Latest!$L$2:$L$500="WARNING (3-14 Days)"), ROW(Company_Latest!$L$2:$L$500)-1), 93)), "")</f>
        <v/>
      </c>
      <c r="C102" s="8">
        <f>IFERROR(INDEX(Company_Latest!D$2:D$500, SMALL(IF((Company_Latest!$L$2:$L$500="OVERDUE (IDLE)")+(Company_Latest!$L$2:$L$500="WARNING (3-14 Days)"), ROW(Company_Latest!$L$2:$L$500)-1), 93)), "")</f>
        <v/>
      </c>
      <c r="D102" s="9">
        <f>IFERROR(INDEX(Company_Latest!E$2:E$500, SMALL(IF((Company_Latest!$L$2:$L$500="OVERDUE (IDLE)")+(Company_Latest!$L$2:$L$500="WARNING (3-14 Days)"), ROW(Company_Latest!$L$2:$L$500)-1), 93)), "")</f>
        <v/>
      </c>
      <c r="E102" s="8">
        <f>IFERROR(INDEX(Company_Latest!G$2:G$500, SMALL(IF((Company_Latest!$L$2:$L$500="OVERDUE (IDLE)")+(Company_Latest!$L$2:$L$500="WARNING (3-14 Days)"), ROW(Company_Latest!$L$2:$L$500)-1), 93)), "")</f>
        <v/>
      </c>
      <c r="F102" s="8">
        <f>IFERROR(INDEX(Company_Latest!H$2:H$500, SMALL(IF((Company_Latest!$L$2:$L$500="OVERDUE (IDLE)")+(Company_Latest!$L$2:$L$500="WARNING (3-14 Days)"), ROW(Company_Latest!$L$2:$L$500)-1), 93)), "")</f>
        <v/>
      </c>
      <c r="G102" s="9">
        <f>IFERROR(INDEX(Company_Latest!K$2:K$500, SMALL(IF((Company_Latest!$L$2:$L$500="OVERDUE (IDLE)")+(Company_Latest!$L$2:$L$500="WARNING (3-14 Days)"), ROW(Company_Latest!$L$2:$L$500)-1), 93)), "")</f>
        <v/>
      </c>
      <c r="H102" s="8">
        <f>IFERROR(INDEX(Company_Latest!L$2:L$500, SMALL(IF((Company_Latest!$L$2:$L$500="OVERDUE (IDLE)")+(Company_Latest!$L$2:$L$500="WARNING (3-14 Days)"), ROW(Company_Latest!$L$2:$L$500)-1), 93)), "")</f>
        <v/>
      </c>
    </row>
    <row r="103">
      <c r="A103" s="8">
        <f>IF(B103&lt;&gt;"", 94, "")</f>
        <v/>
      </c>
      <c r="B103" s="9">
        <f>IFERROR(INDEX(Company_Latest!C$2:C$500, SMALL(IF((Company_Latest!$L$2:$L$500="OVERDUE (IDLE)")+(Company_Latest!$L$2:$L$500="WARNING (3-14 Days)"), ROW(Company_Latest!$L$2:$L$500)-1), 94)), "")</f>
        <v/>
      </c>
      <c r="C103" s="8">
        <f>IFERROR(INDEX(Company_Latest!D$2:D$500, SMALL(IF((Company_Latest!$L$2:$L$500="OVERDUE (IDLE)")+(Company_Latest!$L$2:$L$500="WARNING (3-14 Days)"), ROW(Company_Latest!$L$2:$L$500)-1), 94)), "")</f>
        <v/>
      </c>
      <c r="D103" s="9">
        <f>IFERROR(INDEX(Company_Latest!E$2:E$500, SMALL(IF((Company_Latest!$L$2:$L$500="OVERDUE (IDLE)")+(Company_Latest!$L$2:$L$500="WARNING (3-14 Days)"), ROW(Company_Latest!$L$2:$L$500)-1), 94)), "")</f>
        <v/>
      </c>
      <c r="E103" s="8">
        <f>IFERROR(INDEX(Company_Latest!G$2:G$500, SMALL(IF((Company_Latest!$L$2:$L$500="OVERDUE (IDLE)")+(Company_Latest!$L$2:$L$500="WARNING (3-14 Days)"), ROW(Company_Latest!$L$2:$L$500)-1), 94)), "")</f>
        <v/>
      </c>
      <c r="F103" s="8">
        <f>IFERROR(INDEX(Company_Latest!H$2:H$500, SMALL(IF((Company_Latest!$L$2:$L$500="OVERDUE (IDLE)")+(Company_Latest!$L$2:$L$500="WARNING (3-14 Days)"), ROW(Company_Latest!$L$2:$L$500)-1), 94)), "")</f>
        <v/>
      </c>
      <c r="G103" s="9">
        <f>IFERROR(INDEX(Company_Latest!K$2:K$500, SMALL(IF((Company_Latest!$L$2:$L$500="OVERDUE (IDLE)")+(Company_Latest!$L$2:$L$500="WARNING (3-14 Days)"), ROW(Company_Latest!$L$2:$L$500)-1), 94)), "")</f>
        <v/>
      </c>
      <c r="H103" s="8">
        <f>IFERROR(INDEX(Company_Latest!L$2:L$500, SMALL(IF((Company_Latest!$L$2:$L$500="OVERDUE (IDLE)")+(Company_Latest!$L$2:$L$500="WARNING (3-14 Days)"), ROW(Company_Latest!$L$2:$L$500)-1), 94)), "")</f>
        <v/>
      </c>
    </row>
    <row r="104">
      <c r="A104" s="8">
        <f>IF(B104&lt;&gt;"", 95, "")</f>
        <v/>
      </c>
      <c r="B104" s="9">
        <f>IFERROR(INDEX(Company_Latest!C$2:C$500, SMALL(IF((Company_Latest!$L$2:$L$500="OVERDUE (IDLE)")+(Company_Latest!$L$2:$L$500="WARNING (3-14 Days)"), ROW(Company_Latest!$L$2:$L$500)-1), 95)), "")</f>
        <v/>
      </c>
      <c r="C104" s="8">
        <f>IFERROR(INDEX(Company_Latest!D$2:D$500, SMALL(IF((Company_Latest!$L$2:$L$500="OVERDUE (IDLE)")+(Company_Latest!$L$2:$L$500="WARNING (3-14 Days)"), ROW(Company_Latest!$L$2:$L$500)-1), 95)), "")</f>
        <v/>
      </c>
      <c r="D104" s="9">
        <f>IFERROR(INDEX(Company_Latest!E$2:E$500, SMALL(IF((Company_Latest!$L$2:$L$500="OVERDUE (IDLE)")+(Company_Latest!$L$2:$L$500="WARNING (3-14 Days)"), ROW(Company_Latest!$L$2:$L$500)-1), 95)), "")</f>
        <v/>
      </c>
      <c r="E104" s="8">
        <f>IFERROR(INDEX(Company_Latest!G$2:G$500, SMALL(IF((Company_Latest!$L$2:$L$500="OVERDUE (IDLE)")+(Company_Latest!$L$2:$L$500="WARNING (3-14 Days)"), ROW(Company_Latest!$L$2:$L$500)-1), 95)), "")</f>
        <v/>
      </c>
      <c r="F104" s="8">
        <f>IFERROR(INDEX(Company_Latest!H$2:H$500, SMALL(IF((Company_Latest!$L$2:$L$500="OVERDUE (IDLE)")+(Company_Latest!$L$2:$L$500="WARNING (3-14 Days)"), ROW(Company_Latest!$L$2:$L$500)-1), 95)), "")</f>
        <v/>
      </c>
      <c r="G104" s="9">
        <f>IFERROR(INDEX(Company_Latest!K$2:K$500, SMALL(IF((Company_Latest!$L$2:$L$500="OVERDUE (IDLE)")+(Company_Latest!$L$2:$L$500="WARNING (3-14 Days)"), ROW(Company_Latest!$L$2:$L$500)-1), 95)), "")</f>
        <v/>
      </c>
      <c r="H104" s="8">
        <f>IFERROR(INDEX(Company_Latest!L$2:L$500, SMALL(IF((Company_Latest!$L$2:$L$500="OVERDUE (IDLE)")+(Company_Latest!$L$2:$L$500="WARNING (3-14 Days)"), ROW(Company_Latest!$L$2:$L$500)-1), 95)), "")</f>
        <v/>
      </c>
    </row>
    <row r="105">
      <c r="A105" s="8">
        <f>IF(B105&lt;&gt;"", 96, "")</f>
        <v/>
      </c>
      <c r="B105" s="9">
        <f>IFERROR(INDEX(Company_Latest!C$2:C$500, SMALL(IF((Company_Latest!$L$2:$L$500="OVERDUE (IDLE)")+(Company_Latest!$L$2:$L$500="WARNING (3-14 Days)"), ROW(Company_Latest!$L$2:$L$500)-1), 96)), "")</f>
        <v/>
      </c>
      <c r="C105" s="8">
        <f>IFERROR(INDEX(Company_Latest!D$2:D$500, SMALL(IF((Company_Latest!$L$2:$L$500="OVERDUE (IDLE)")+(Company_Latest!$L$2:$L$500="WARNING (3-14 Days)"), ROW(Company_Latest!$L$2:$L$500)-1), 96)), "")</f>
        <v/>
      </c>
      <c r="D105" s="9">
        <f>IFERROR(INDEX(Company_Latest!E$2:E$500, SMALL(IF((Company_Latest!$L$2:$L$500="OVERDUE (IDLE)")+(Company_Latest!$L$2:$L$500="WARNING (3-14 Days)"), ROW(Company_Latest!$L$2:$L$500)-1), 96)), "")</f>
        <v/>
      </c>
      <c r="E105" s="8">
        <f>IFERROR(INDEX(Company_Latest!G$2:G$500, SMALL(IF((Company_Latest!$L$2:$L$500="OVERDUE (IDLE)")+(Company_Latest!$L$2:$L$500="WARNING (3-14 Days)"), ROW(Company_Latest!$L$2:$L$500)-1), 96)), "")</f>
        <v/>
      </c>
      <c r="F105" s="8">
        <f>IFERROR(INDEX(Company_Latest!H$2:H$500, SMALL(IF((Company_Latest!$L$2:$L$500="OVERDUE (IDLE)")+(Company_Latest!$L$2:$L$500="WARNING (3-14 Days)"), ROW(Company_Latest!$L$2:$L$500)-1), 96)), "")</f>
        <v/>
      </c>
      <c r="G105" s="9">
        <f>IFERROR(INDEX(Company_Latest!K$2:K$500, SMALL(IF((Company_Latest!$L$2:$L$500="OVERDUE (IDLE)")+(Company_Latest!$L$2:$L$500="WARNING (3-14 Days)"), ROW(Company_Latest!$L$2:$L$500)-1), 96)), "")</f>
        <v/>
      </c>
      <c r="H105" s="8">
        <f>IFERROR(INDEX(Company_Latest!L$2:L$500, SMALL(IF((Company_Latest!$L$2:$L$500="OVERDUE (IDLE)")+(Company_Latest!$L$2:$L$500="WARNING (3-14 Days)"), ROW(Company_Latest!$L$2:$L$500)-1), 96)), "")</f>
        <v/>
      </c>
    </row>
    <row r="106">
      <c r="A106" s="8">
        <f>IF(B106&lt;&gt;"", 97, "")</f>
        <v/>
      </c>
      <c r="B106" s="9">
        <f>IFERROR(INDEX(Company_Latest!C$2:C$500, SMALL(IF((Company_Latest!$L$2:$L$500="OVERDUE (IDLE)")+(Company_Latest!$L$2:$L$500="WARNING (3-14 Days)"), ROW(Company_Latest!$L$2:$L$500)-1), 97)), "")</f>
        <v/>
      </c>
      <c r="C106" s="8">
        <f>IFERROR(INDEX(Company_Latest!D$2:D$500, SMALL(IF((Company_Latest!$L$2:$L$500="OVERDUE (IDLE)")+(Company_Latest!$L$2:$L$500="WARNING (3-14 Days)"), ROW(Company_Latest!$L$2:$L$500)-1), 97)), "")</f>
        <v/>
      </c>
      <c r="D106" s="9">
        <f>IFERROR(INDEX(Company_Latest!E$2:E$500, SMALL(IF((Company_Latest!$L$2:$L$500="OVERDUE (IDLE)")+(Company_Latest!$L$2:$L$500="WARNING (3-14 Days)"), ROW(Company_Latest!$L$2:$L$500)-1), 97)), "")</f>
        <v/>
      </c>
      <c r="E106" s="8">
        <f>IFERROR(INDEX(Company_Latest!G$2:G$500, SMALL(IF((Company_Latest!$L$2:$L$500="OVERDUE (IDLE)")+(Company_Latest!$L$2:$L$500="WARNING (3-14 Days)"), ROW(Company_Latest!$L$2:$L$500)-1), 97)), "")</f>
        <v/>
      </c>
      <c r="F106" s="8">
        <f>IFERROR(INDEX(Company_Latest!H$2:H$500, SMALL(IF((Company_Latest!$L$2:$L$500="OVERDUE (IDLE)")+(Company_Latest!$L$2:$L$500="WARNING (3-14 Days)"), ROW(Company_Latest!$L$2:$L$500)-1), 97)), "")</f>
        <v/>
      </c>
      <c r="G106" s="9">
        <f>IFERROR(INDEX(Company_Latest!K$2:K$500, SMALL(IF((Company_Latest!$L$2:$L$500="OVERDUE (IDLE)")+(Company_Latest!$L$2:$L$500="WARNING (3-14 Days)"), ROW(Company_Latest!$L$2:$L$500)-1), 97)), "")</f>
        <v/>
      </c>
      <c r="H106" s="8">
        <f>IFERROR(INDEX(Company_Latest!L$2:L$500, SMALL(IF((Company_Latest!$L$2:$L$500="OVERDUE (IDLE)")+(Company_Latest!$L$2:$L$500="WARNING (3-14 Days)"), ROW(Company_Latest!$L$2:$L$500)-1), 97)), "")</f>
        <v/>
      </c>
    </row>
    <row r="107">
      <c r="A107" s="8">
        <f>IF(B107&lt;&gt;"", 98, "")</f>
        <v/>
      </c>
      <c r="B107" s="9">
        <f>IFERROR(INDEX(Company_Latest!C$2:C$500, SMALL(IF((Company_Latest!$L$2:$L$500="OVERDUE (IDLE)")+(Company_Latest!$L$2:$L$500="WARNING (3-14 Days)"), ROW(Company_Latest!$L$2:$L$500)-1), 98)), "")</f>
        <v/>
      </c>
      <c r="C107" s="8">
        <f>IFERROR(INDEX(Company_Latest!D$2:D$500, SMALL(IF((Company_Latest!$L$2:$L$500="OVERDUE (IDLE)")+(Company_Latest!$L$2:$L$500="WARNING (3-14 Days)"), ROW(Company_Latest!$L$2:$L$500)-1), 98)), "")</f>
        <v/>
      </c>
      <c r="D107" s="9">
        <f>IFERROR(INDEX(Company_Latest!E$2:E$500, SMALL(IF((Company_Latest!$L$2:$L$500="OVERDUE (IDLE)")+(Company_Latest!$L$2:$L$500="WARNING (3-14 Days)"), ROW(Company_Latest!$L$2:$L$500)-1), 98)), "")</f>
        <v/>
      </c>
      <c r="E107" s="8">
        <f>IFERROR(INDEX(Company_Latest!G$2:G$500, SMALL(IF((Company_Latest!$L$2:$L$500="OVERDUE (IDLE)")+(Company_Latest!$L$2:$L$500="WARNING (3-14 Days)"), ROW(Company_Latest!$L$2:$L$500)-1), 98)), "")</f>
        <v/>
      </c>
      <c r="F107" s="8">
        <f>IFERROR(INDEX(Company_Latest!H$2:H$500, SMALL(IF((Company_Latest!$L$2:$L$500="OVERDUE (IDLE)")+(Company_Latest!$L$2:$L$500="WARNING (3-14 Days)"), ROW(Company_Latest!$L$2:$L$500)-1), 98)), "")</f>
        <v/>
      </c>
      <c r="G107" s="9">
        <f>IFERROR(INDEX(Company_Latest!K$2:K$500, SMALL(IF((Company_Latest!$L$2:$L$500="OVERDUE (IDLE)")+(Company_Latest!$L$2:$L$500="WARNING (3-14 Days)"), ROW(Company_Latest!$L$2:$L$500)-1), 98)), "")</f>
        <v/>
      </c>
      <c r="H107" s="8">
        <f>IFERROR(INDEX(Company_Latest!L$2:L$500, SMALL(IF((Company_Latest!$L$2:$L$500="OVERDUE (IDLE)")+(Company_Latest!$L$2:$L$500="WARNING (3-14 Days)"), ROW(Company_Latest!$L$2:$L$500)-1), 98)), "")</f>
        <v/>
      </c>
    </row>
    <row r="108">
      <c r="A108" s="8">
        <f>IF(B108&lt;&gt;"", 99, "")</f>
        <v/>
      </c>
      <c r="B108" s="9">
        <f>IFERROR(INDEX(Company_Latest!C$2:C$500, SMALL(IF((Company_Latest!$L$2:$L$500="OVERDUE (IDLE)")+(Company_Latest!$L$2:$L$500="WARNING (3-14 Days)"), ROW(Company_Latest!$L$2:$L$500)-1), 99)), "")</f>
        <v/>
      </c>
      <c r="C108" s="8">
        <f>IFERROR(INDEX(Company_Latest!D$2:D$500, SMALL(IF((Company_Latest!$L$2:$L$500="OVERDUE (IDLE)")+(Company_Latest!$L$2:$L$500="WARNING (3-14 Days)"), ROW(Company_Latest!$L$2:$L$500)-1), 99)), "")</f>
        <v/>
      </c>
      <c r="D108" s="9">
        <f>IFERROR(INDEX(Company_Latest!E$2:E$500, SMALL(IF((Company_Latest!$L$2:$L$500="OVERDUE (IDLE)")+(Company_Latest!$L$2:$L$500="WARNING (3-14 Days)"), ROW(Company_Latest!$L$2:$L$500)-1), 99)), "")</f>
        <v/>
      </c>
      <c r="E108" s="8">
        <f>IFERROR(INDEX(Company_Latest!G$2:G$500, SMALL(IF((Company_Latest!$L$2:$L$500="OVERDUE (IDLE)")+(Company_Latest!$L$2:$L$500="WARNING (3-14 Days)"), ROW(Company_Latest!$L$2:$L$500)-1), 99)), "")</f>
        <v/>
      </c>
      <c r="F108" s="8">
        <f>IFERROR(INDEX(Company_Latest!H$2:H$500, SMALL(IF((Company_Latest!$L$2:$L$500="OVERDUE (IDLE)")+(Company_Latest!$L$2:$L$500="WARNING (3-14 Days)"), ROW(Company_Latest!$L$2:$L$500)-1), 99)), "")</f>
        <v/>
      </c>
      <c r="G108" s="9">
        <f>IFERROR(INDEX(Company_Latest!K$2:K$500, SMALL(IF((Company_Latest!$L$2:$L$500="OVERDUE (IDLE)")+(Company_Latest!$L$2:$L$500="WARNING (3-14 Days)"), ROW(Company_Latest!$L$2:$L$500)-1), 99)), "")</f>
        <v/>
      </c>
      <c r="H108" s="8">
        <f>IFERROR(INDEX(Company_Latest!L$2:L$500, SMALL(IF((Company_Latest!$L$2:$L$500="OVERDUE (IDLE)")+(Company_Latest!$L$2:$L$500="WARNING (3-14 Days)"), ROW(Company_Latest!$L$2:$L$500)-1), 99)), "")</f>
        <v/>
      </c>
    </row>
    <row r="109">
      <c r="A109" s="8">
        <f>IF(B109&lt;&gt;"", 100, "")</f>
        <v/>
      </c>
      <c r="B109" s="9">
        <f>IFERROR(INDEX(Company_Latest!C$2:C$500, SMALL(IF((Company_Latest!$L$2:$L$500="OVERDUE (IDLE)")+(Company_Latest!$L$2:$L$500="WARNING (3-14 Days)"), ROW(Company_Latest!$L$2:$L$500)-1), 100)), "")</f>
        <v/>
      </c>
      <c r="C109" s="8">
        <f>IFERROR(INDEX(Company_Latest!D$2:D$500, SMALL(IF((Company_Latest!$L$2:$L$500="OVERDUE (IDLE)")+(Company_Latest!$L$2:$L$500="WARNING (3-14 Days)"), ROW(Company_Latest!$L$2:$L$500)-1), 100)), "")</f>
        <v/>
      </c>
      <c r="D109" s="9">
        <f>IFERROR(INDEX(Company_Latest!E$2:E$500, SMALL(IF((Company_Latest!$L$2:$L$500="OVERDUE (IDLE)")+(Company_Latest!$L$2:$L$500="WARNING (3-14 Days)"), ROW(Company_Latest!$L$2:$L$500)-1), 100)), "")</f>
        <v/>
      </c>
      <c r="E109" s="8">
        <f>IFERROR(INDEX(Company_Latest!G$2:G$500, SMALL(IF((Company_Latest!$L$2:$L$500="OVERDUE (IDLE)")+(Company_Latest!$L$2:$L$500="WARNING (3-14 Days)"), ROW(Company_Latest!$L$2:$L$500)-1), 100)), "")</f>
        <v/>
      </c>
      <c r="F109" s="8">
        <f>IFERROR(INDEX(Company_Latest!H$2:H$500, SMALL(IF((Company_Latest!$L$2:$L$500="OVERDUE (IDLE)")+(Company_Latest!$L$2:$L$500="WARNING (3-14 Days)"), ROW(Company_Latest!$L$2:$L$500)-1), 100)), "")</f>
        <v/>
      </c>
      <c r="G109" s="9">
        <f>IFERROR(INDEX(Company_Latest!K$2:K$500, SMALL(IF((Company_Latest!$L$2:$L$500="OVERDUE (IDLE)")+(Company_Latest!$L$2:$L$500="WARNING (3-14 Days)"), ROW(Company_Latest!$L$2:$L$500)-1), 100)), "")</f>
        <v/>
      </c>
      <c r="H109" s="8">
        <f>IFERROR(INDEX(Company_Latest!L$2:L$500, SMALL(IF((Company_Latest!$L$2:$L$500="OVERDUE (IDLE)")+(Company_Latest!$L$2:$L$500="WARNING (3-14 Days)"), ROW(Company_Latest!$L$2:$L$500)-1), 100)), "")</f>
        <v/>
      </c>
    </row>
  </sheetData>
  <mergeCells count="5">
    <mergeCell ref="B6:C6"/>
    <mergeCell ref="A3:H3"/>
    <mergeCell ref="B5:C5"/>
    <mergeCell ref="A1:H1"/>
    <mergeCell ref="A8:H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51"/>
  <sheetViews>
    <sheetView showGridLines="1" workbookViewId="0">
      <selection activeCell="A1" sqref="A1"/>
    </sheetView>
  </sheetViews>
  <sheetFormatPr baseColWidth="8" defaultRowHeight="15"/>
  <sheetData>
    <row r="1">
      <c r="A1" s="10" t="inlineStr">
        <is>
          <t>Sales Manager</t>
        </is>
      </c>
      <c r="B1" s="10" t="inlineStr">
        <is>
          <t>Sales Supervisor</t>
        </is>
      </c>
      <c r="C1" s="10" t="inlineStr">
        <is>
          <t>Sales Officer</t>
        </is>
      </c>
      <c r="D1" s="10" t="inlineStr">
        <is>
          <t>Company ID</t>
        </is>
      </c>
      <c r="E1" s="10" t="inlineStr">
        <is>
          <t>Company Name</t>
        </is>
      </c>
      <c r="F1" s="10" t="inlineStr">
        <is>
          <t>Company Size</t>
        </is>
      </c>
      <c r="G1" s="10" t="inlineStr">
        <is>
          <t>Project ID</t>
        </is>
      </c>
      <c r="H1" s="10" t="inlineStr">
        <is>
          <t>Last Progress</t>
        </is>
      </c>
      <c r="I1" s="10" t="inlineStr">
        <is>
          <t>Prospect to Leads (Left Days)</t>
        </is>
      </c>
      <c r="J1" s="10" t="inlineStr">
        <is>
          <t>Leads to Idle (Left Days)</t>
        </is>
      </c>
      <c r="K1" s="10" t="inlineStr">
        <is>
          <t>Detail Progress &amp; Note</t>
        </is>
      </c>
      <c r="L1" s="10" t="inlineStr">
        <is>
          <t>Alert Status</t>
        </is>
      </c>
    </row>
    <row r="2">
      <c r="A2" t="inlineStr">
        <is>
          <t>Fuji</t>
        </is>
      </c>
      <c r="B2" t="inlineStr"/>
      <c r="C2" t="inlineStr">
        <is>
          <t>Ravico</t>
        </is>
      </c>
      <c r="D2" t="inlineStr">
        <is>
          <t>EMPIND</t>
        </is>
      </c>
      <c r="E2" t="inlineStr">
        <is>
          <t>EIGERINDO MULTI PRODUK INDONESIA</t>
        </is>
      </c>
      <c r="F2" t="inlineStr">
        <is>
          <t>L</t>
        </is>
      </c>
      <c r="G2" t="inlineStr">
        <is>
          <t>7.25.00362</t>
        </is>
      </c>
      <c r="H2" t="inlineStr">
        <is>
          <t>Leads</t>
        </is>
      </c>
      <c r="I2" t="n">
        <v>0</v>
      </c>
      <c r="J2" t="n">
        <v>-32</v>
      </c>
      <c r="K2" t="inlineStr">
        <is>
          <t>Reach Truck 1.5 Ton (1 Unit) _ 1 Tahun _ Canvassing awal &amp; Sales Call</t>
        </is>
      </c>
      <c r="L2">
        <f>IF(AND(H2="Leads", J2&lt;=0), "OVERDUE (IDLE)", IF(AND(H2="Leads", J2&lt;=14), "WARNING (3-14 Days)", IF(AND(H2="Prospect", J2&lt;=0), "PROSPECT EXPIRED", "SAFE / ON TRACK")))</f>
        <v/>
      </c>
    </row>
    <row r="3">
      <c r="A3" t="inlineStr">
        <is>
          <t>Fuji</t>
        </is>
      </c>
      <c r="B3" t="inlineStr"/>
      <c r="C3" t="inlineStr">
        <is>
          <t>Ravico</t>
        </is>
      </c>
      <c r="D3" t="inlineStr">
        <is>
          <t>BCCBI</t>
        </is>
      </c>
      <c r="E3" t="inlineStr">
        <is>
          <t>PT BANK CHINA CONSTRUCTION BANK INDONESIA TBK</t>
        </is>
      </c>
      <c r="F3" t="inlineStr">
        <is>
          <t>L</t>
        </is>
      </c>
      <c r="G3" t="inlineStr">
        <is>
          <t>7.26.00053</t>
        </is>
      </c>
      <c r="H3" t="inlineStr">
        <is>
          <t>Leads</t>
        </is>
      </c>
      <c r="I3" t="n">
        <v>0</v>
      </c>
      <c r="J3" t="n">
        <v>21</v>
      </c>
      <c r="K3" t="inlineStr">
        <is>
          <t>Reach Truck 1.5 Ton (1 Unit) _ 1 Tahun _ Canvassing awal &amp; Sales Call</t>
        </is>
      </c>
      <c r="L3">
        <f>IF(AND(H3="Leads", J3&lt;=0), "OVERDUE (IDLE)", IF(AND(H3="Leads", J3&lt;=14), "WARNING (3-14 Days)", IF(AND(H3="Prospect", J3&lt;=0), "PROSPECT EXPIRED", "SAFE / ON TRACK")))</f>
        <v/>
      </c>
    </row>
    <row r="4">
      <c r="A4" t="inlineStr">
        <is>
          <t>Fuji</t>
        </is>
      </c>
      <c r="B4" t="inlineStr"/>
      <c r="C4" t="inlineStr">
        <is>
          <t>Ravico</t>
        </is>
      </c>
      <c r="D4" t="inlineStr">
        <is>
          <t>TRITNGGAL</t>
        </is>
      </c>
      <c r="E4" t="inlineStr">
        <is>
          <t>PT TRITUNGGAL DELTA SEJAHTERA</t>
        </is>
      </c>
      <c r="F4" t="inlineStr">
        <is>
          <t>M</t>
        </is>
      </c>
      <c r="G4" t="inlineStr">
        <is>
          <t>7.26.00116</t>
        </is>
      </c>
      <c r="H4" t="inlineStr">
        <is>
          <t>Leads</t>
        </is>
      </c>
      <c r="I4" t="n">
        <v>0</v>
      </c>
      <c r="J4" t="n">
        <v>28</v>
      </c>
      <c r="K4" t="inlineStr">
        <is>
          <t>Reach Truck 1.5 Ton (1 Unit) _ 1 Tahun _ Canvassing awal &amp; Sales Call</t>
        </is>
      </c>
      <c r="L4">
        <f>IF(AND(H4="Leads", J4&lt;=0), "OVERDUE (IDLE)", IF(AND(H4="Leads", J4&lt;=14), "WARNING (3-14 Days)", IF(AND(H4="Prospect", J4&lt;=0), "PROSPECT EXPIRED", "SAFE / ON TRACK")))</f>
        <v/>
      </c>
    </row>
    <row r="5">
      <c r="A5" t="inlineStr">
        <is>
          <t>Fuji</t>
        </is>
      </c>
      <c r="B5" t="inlineStr"/>
      <c r="C5" t="inlineStr">
        <is>
          <t>Ravico</t>
        </is>
      </c>
      <c r="D5" t="inlineStr">
        <is>
          <t>UPD</t>
        </is>
      </c>
      <c r="E5" t="inlineStr">
        <is>
          <t>PT UNITRADE PRIMA DINAMIKA</t>
        </is>
      </c>
      <c r="F5" t="inlineStr">
        <is>
          <t>M</t>
        </is>
      </c>
      <c r="G5" t="inlineStr">
        <is>
          <t>7.26.00317</t>
        </is>
      </c>
      <c r="H5" t="inlineStr">
        <is>
          <t>Leads</t>
        </is>
      </c>
      <c r="I5" t="n">
        <v>0</v>
      </c>
      <c r="J5" t="n">
        <v>94</v>
      </c>
      <c r="K5" t="inlineStr">
        <is>
          <t>Reach Truck 1.5 Ton (1 Unit) _ 1 Tahun _ Canvassing awal &amp; Sales Call</t>
        </is>
      </c>
      <c r="L5">
        <f>IF(AND(H5="Leads", J5&lt;=0), "OVERDUE (IDLE)", IF(AND(H5="Leads", J5&lt;=14), "WARNING (3-14 Days)", IF(AND(H5="Prospect", J5&lt;=0), "PROSPECT EXPIRED", "SAFE / ON TRACK")))</f>
        <v/>
      </c>
    </row>
    <row r="6">
      <c r="A6" t="inlineStr">
        <is>
          <t>Fuji</t>
        </is>
      </c>
      <c r="B6" t="inlineStr"/>
      <c r="C6" t="inlineStr">
        <is>
          <t>Ravico</t>
        </is>
      </c>
      <c r="D6" t="inlineStr">
        <is>
          <t>ONIND</t>
        </is>
      </c>
      <c r="E6" t="inlineStr">
        <is>
          <t>PT ONINDONESIA SISTEM TEKNOLOGI</t>
        </is>
      </c>
      <c r="F6" t="inlineStr">
        <is>
          <t>M</t>
        </is>
      </c>
      <c r="G6" t="inlineStr">
        <is>
          <t>7.26.00319</t>
        </is>
      </c>
      <c r="H6" t="inlineStr">
        <is>
          <t>Leads</t>
        </is>
      </c>
      <c r="I6" t="n">
        <v>0</v>
      </c>
      <c r="J6" t="n">
        <v>100</v>
      </c>
      <c r="K6" t="inlineStr">
        <is>
          <t>Reach Truck 1.5 Ton (1 Unit) _ 1 Tahun _ Canvassing awal &amp; Sales Call</t>
        </is>
      </c>
      <c r="L6">
        <f>IF(AND(H6="Leads", J6&lt;=0), "OVERDUE (IDLE)", IF(AND(H6="Leads", J6&lt;=14), "WARNING (3-14 Days)", IF(AND(H6="Prospect", J6&lt;=0), "PROSPECT EXPIRED", "SAFE / ON TRACK")))</f>
        <v/>
      </c>
    </row>
    <row r="7">
      <c r="A7" t="inlineStr">
        <is>
          <t>Fuji</t>
        </is>
      </c>
      <c r="B7" t="inlineStr"/>
      <c r="C7" t="inlineStr">
        <is>
          <t>Ravico</t>
        </is>
      </c>
      <c r="D7" t="inlineStr">
        <is>
          <t>ASUTOMARIN</t>
        </is>
      </c>
      <c r="E7" t="inlineStr">
        <is>
          <t>PT ASURANSI TOKIO MARINE INDONESIA</t>
        </is>
      </c>
      <c r="F7" t="inlineStr">
        <is>
          <t>L</t>
        </is>
      </c>
      <c r="G7" t="inlineStr">
        <is>
          <t>7.26.00324</t>
        </is>
      </c>
      <c r="H7" t="inlineStr">
        <is>
          <t>Leads</t>
        </is>
      </c>
      <c r="I7" t="n">
        <v>0</v>
      </c>
      <c r="J7" t="n">
        <v>112</v>
      </c>
      <c r="K7" t="inlineStr">
        <is>
          <t>Reach Truck 1.5 Ton (1 Unit) _ 1 Tahun _ Canvassing awal &amp; Sales Call</t>
        </is>
      </c>
      <c r="L7">
        <f>IF(AND(H7="Leads", J7&lt;=0), "OVERDUE (IDLE)", IF(AND(H7="Leads", J7&lt;=14), "WARNING (3-14 Days)", IF(AND(H7="Prospect", J7&lt;=0), "PROSPECT EXPIRED", "SAFE / ON TRACK")))</f>
        <v/>
      </c>
    </row>
    <row r="8">
      <c r="A8" t="inlineStr">
        <is>
          <t>Fuji</t>
        </is>
      </c>
      <c r="B8" t="inlineStr"/>
      <c r="C8" t="inlineStr">
        <is>
          <t>Ravico</t>
        </is>
      </c>
      <c r="D8" t="inlineStr">
        <is>
          <t>NELY</t>
        </is>
      </c>
      <c r="E8" t="inlineStr">
        <is>
          <t>PT PELAYARAN NELLY DWI PUTRI TBK</t>
        </is>
      </c>
      <c r="F8" t="inlineStr">
        <is>
          <t>L</t>
        </is>
      </c>
      <c r="G8" t="inlineStr">
        <is>
          <t>7.26.00328</t>
        </is>
      </c>
      <c r="H8" t="inlineStr">
        <is>
          <t>Leads</t>
        </is>
      </c>
      <c r="I8" t="n">
        <v>0</v>
      </c>
      <c r="J8" t="n">
        <v>16</v>
      </c>
      <c r="K8" t="inlineStr">
        <is>
          <t>Reach Truck 1.5 Ton (1 Unit) _ 1 Tahun _ Canvassing awal &amp; Sales Call</t>
        </is>
      </c>
      <c r="L8">
        <f>IF(AND(H8="Leads", J8&lt;=0), "OVERDUE (IDLE)", IF(AND(H8="Leads", J8&lt;=14), "WARNING (3-14 Days)", IF(AND(H8="Prospect", J8&lt;=0), "PROSPECT EXPIRED", "SAFE / ON TRACK")))</f>
        <v/>
      </c>
    </row>
    <row r="9">
      <c r="A9" t="inlineStr">
        <is>
          <t>Fuji</t>
        </is>
      </c>
      <c r="B9" t="inlineStr"/>
      <c r="C9" t="inlineStr">
        <is>
          <t>Ravico</t>
        </is>
      </c>
      <c r="D9" t="inlineStr">
        <is>
          <t>PNGGIDN</t>
        </is>
      </c>
      <c r="E9" t="inlineStr">
        <is>
          <t>PT PINANG EXPORT INDONESIA</t>
        </is>
      </c>
      <c r="F9" t="inlineStr">
        <is>
          <t>M</t>
        </is>
      </c>
      <c r="G9" t="inlineStr">
        <is>
          <t>7.26.00329</t>
        </is>
      </c>
      <c r="H9" t="inlineStr">
        <is>
          <t>Leads</t>
        </is>
      </c>
      <c r="I9" t="n">
        <v>0</v>
      </c>
      <c r="J9" t="n">
        <v>127</v>
      </c>
      <c r="K9" t="inlineStr">
        <is>
          <t>Reach Truck 1.5 Ton (1 Unit) _ 1 Tahun _ Canvassing awal &amp; Sales Call</t>
        </is>
      </c>
      <c r="L9">
        <f>IF(AND(H9="Leads", J9&lt;=0), "OVERDUE (IDLE)", IF(AND(H9="Leads", J9&lt;=14), "WARNING (3-14 Days)", IF(AND(H9="Prospect", J9&lt;=0), "PROSPECT EXPIRED", "SAFE / ON TRACK")))</f>
        <v/>
      </c>
    </row>
    <row r="10">
      <c r="A10" t="inlineStr">
        <is>
          <t>Fuji</t>
        </is>
      </c>
      <c r="B10" t="inlineStr"/>
      <c r="C10" t="inlineStr">
        <is>
          <t>Ravico</t>
        </is>
      </c>
      <c r="D10" t="inlineStr">
        <is>
          <t>CKDMI</t>
        </is>
      </c>
      <c r="E10" t="inlineStr">
        <is>
          <t>PT CKD MANUFACTURING INDONESIA</t>
        </is>
      </c>
      <c r="F10" t="inlineStr">
        <is>
          <t>M</t>
        </is>
      </c>
      <c r="G10" t="inlineStr">
        <is>
          <t>7.26.00336</t>
        </is>
      </c>
      <c r="H10" t="inlineStr">
        <is>
          <t>Leads</t>
        </is>
      </c>
      <c r="I10" t="n">
        <v>0</v>
      </c>
      <c r="J10" t="n">
        <v>17</v>
      </c>
      <c r="K10" t="inlineStr">
        <is>
          <t>Reach Truck 1.5 Ton (1 Unit) _ 1 Tahun _ Canvassing awal &amp; Sales Call</t>
        </is>
      </c>
      <c r="L10">
        <f>IF(AND(H10="Leads", J10&lt;=0), "OVERDUE (IDLE)", IF(AND(H10="Leads", J10&lt;=14), "WARNING (3-14 Days)", IF(AND(H10="Prospect", J10&lt;=0), "PROSPECT EXPIRED", "SAFE / ON TRACK")))</f>
        <v/>
      </c>
    </row>
    <row r="11">
      <c r="A11" t="inlineStr">
        <is>
          <t>Fuji</t>
        </is>
      </c>
      <c r="B11" t="inlineStr"/>
      <c r="C11" t="inlineStr">
        <is>
          <t>Ravico</t>
        </is>
      </c>
      <c r="D11" t="inlineStr">
        <is>
          <t>SECO</t>
        </is>
      </c>
      <c r="E11" t="inlineStr">
        <is>
          <t>PT SECO TOOLS INDONESIA</t>
        </is>
      </c>
      <c r="F11" t="inlineStr">
        <is>
          <t>M</t>
        </is>
      </c>
      <c r="G11" t="inlineStr">
        <is>
          <t>7.26.00337</t>
        </is>
      </c>
      <c r="H11" t="inlineStr">
        <is>
          <t>Leads</t>
        </is>
      </c>
      <c r="I11" t="n">
        <v>0</v>
      </c>
      <c r="J11" t="n">
        <v>17</v>
      </c>
      <c r="K11" t="inlineStr">
        <is>
          <t>Reach Truck 1.5 Ton (1 Unit) _ 1 Tahun _ Canvassing awal &amp; Sales Call</t>
        </is>
      </c>
      <c r="L11">
        <f>IF(AND(H11="Leads", J11&lt;=0), "OVERDUE (IDLE)", IF(AND(H11="Leads", J11&lt;=14), "WARNING (3-14 Days)", IF(AND(H11="Prospect", J11&lt;=0), "PROSPECT EXPIRED", "SAFE / ON TRACK")))</f>
        <v/>
      </c>
    </row>
    <row r="12">
      <c r="A12" t="inlineStr">
        <is>
          <t>Fuji</t>
        </is>
      </c>
      <c r="B12" t="inlineStr"/>
      <c r="C12" t="inlineStr">
        <is>
          <t>Ravico</t>
        </is>
      </c>
      <c r="D12" t="inlineStr">
        <is>
          <t>KYOUEI</t>
        </is>
      </c>
      <c r="E12" t="inlineStr">
        <is>
          <t>PT INDONESIA KYOUEI SAIKYU</t>
        </is>
      </c>
      <c r="F12" t="inlineStr">
        <is>
          <t>M</t>
        </is>
      </c>
      <c r="G12" t="inlineStr">
        <is>
          <t>7.26.00351</t>
        </is>
      </c>
      <c r="H12" t="inlineStr">
        <is>
          <t>Leads</t>
        </is>
      </c>
      <c r="I12" t="n">
        <v>0</v>
      </c>
      <c r="J12" t="n">
        <v>23</v>
      </c>
      <c r="K12" t="inlineStr">
        <is>
          <t>Reach Truck 1.5 Ton (1 Unit) _ 1 Tahun _ Canvassing awal &amp; Sales Call</t>
        </is>
      </c>
      <c r="L12">
        <f>IF(AND(H12="Leads", J12&lt;=0), "OVERDUE (IDLE)", IF(AND(H12="Leads", J12&lt;=14), "WARNING (3-14 Days)", IF(AND(H12="Prospect", J12&lt;=0), "PROSPECT EXPIRED", "SAFE / ON TRACK")))</f>
        <v/>
      </c>
    </row>
    <row r="13">
      <c r="A13" t="inlineStr">
        <is>
          <t>Fuji</t>
        </is>
      </c>
      <c r="B13" t="inlineStr"/>
      <c r="C13" t="inlineStr">
        <is>
          <t>Ravico</t>
        </is>
      </c>
      <c r="D13" t="inlineStr">
        <is>
          <t>IDKIND</t>
        </is>
      </c>
      <c r="E13" t="inlineStr">
        <is>
          <t>PT IDAKA INDONESIA</t>
        </is>
      </c>
      <c r="F13" t="inlineStr">
        <is>
          <t>M</t>
        </is>
      </c>
      <c r="G13" t="inlineStr">
        <is>
          <t>7.26.00352</t>
        </is>
      </c>
      <c r="H13" t="inlineStr">
        <is>
          <t>Leads</t>
        </is>
      </c>
      <c r="I13" t="n">
        <v>0</v>
      </c>
      <c r="J13" t="n">
        <v>23</v>
      </c>
      <c r="K13" t="inlineStr">
        <is>
          <t>Reach Truck 1.5 Ton (1 Unit) _ 1 Tahun _ Canvassing awal &amp; Sales Call</t>
        </is>
      </c>
      <c r="L13">
        <f>IF(AND(H13="Leads", J13&lt;=0), "OVERDUE (IDLE)", IF(AND(H13="Leads", J13&lt;=14), "WARNING (3-14 Days)", IF(AND(H13="Prospect", J13&lt;=0), "PROSPECT EXPIRED", "SAFE / ON TRACK")))</f>
        <v/>
      </c>
    </row>
    <row r="14">
      <c r="A14" t="inlineStr">
        <is>
          <t>Fuji</t>
        </is>
      </c>
      <c r="B14" t="inlineStr"/>
      <c r="C14" t="inlineStr">
        <is>
          <t>Ravico</t>
        </is>
      </c>
      <c r="D14" t="inlineStr">
        <is>
          <t>EXAKSS</t>
        </is>
      </c>
      <c r="E14" t="inlineStr">
        <is>
          <t>PT EXTERRAN INDONESIA</t>
        </is>
      </c>
      <c r="F14" t="inlineStr">
        <is>
          <t>M</t>
        </is>
      </c>
      <c r="G14" t="inlineStr">
        <is>
          <t>7.26.00353</t>
        </is>
      </c>
      <c r="H14" t="inlineStr">
        <is>
          <t>Leads</t>
        </is>
      </c>
      <c r="I14" t="n">
        <v>0</v>
      </c>
      <c r="J14" t="n">
        <v>23</v>
      </c>
      <c r="K14" t="inlineStr">
        <is>
          <t>Reach Truck 1.5 Ton (1 Unit) _ 1 Tahun _ Canvassing awal &amp; Sales Call</t>
        </is>
      </c>
      <c r="L14">
        <f>IF(AND(H14="Leads", J14&lt;=0), "OVERDUE (IDLE)", IF(AND(H14="Leads", J14&lt;=14), "WARNING (3-14 Days)", IF(AND(H14="Prospect", J14&lt;=0), "PROSPECT EXPIRED", "SAFE / ON TRACK")))</f>
        <v/>
      </c>
    </row>
    <row r="15">
      <c r="A15" t="inlineStr">
        <is>
          <t>Fuji</t>
        </is>
      </c>
      <c r="B15" t="inlineStr"/>
      <c r="C15" t="inlineStr">
        <is>
          <t>Ravico</t>
        </is>
      </c>
      <c r="D15" t="inlineStr">
        <is>
          <t>FYSHI</t>
        </is>
      </c>
      <c r="E15" t="inlineStr">
        <is>
          <t>PT FUKUGO SHIZAI INDONESIA</t>
        </is>
      </c>
      <c r="F15" t="inlineStr">
        <is>
          <t>M</t>
        </is>
      </c>
      <c r="G15" t="inlineStr">
        <is>
          <t>7.26.00354</t>
        </is>
      </c>
      <c r="H15" t="inlineStr">
        <is>
          <t>Leads</t>
        </is>
      </c>
      <c r="I15" t="n">
        <v>0</v>
      </c>
      <c r="J15" t="n">
        <v>23</v>
      </c>
      <c r="K15" t="inlineStr">
        <is>
          <t>Reach Truck 1.5 Ton (1 Unit) _ 1 Tahun _ Canvassing awal &amp; Sales Call</t>
        </is>
      </c>
      <c r="L15">
        <f>IF(AND(H15="Leads", J15&lt;=0), "OVERDUE (IDLE)", IF(AND(H15="Leads", J15&lt;=14), "WARNING (3-14 Days)", IF(AND(H15="Prospect", J15&lt;=0), "PROSPECT EXPIRED", "SAFE / ON TRACK")))</f>
        <v/>
      </c>
    </row>
    <row r="16">
      <c r="A16" t="inlineStr">
        <is>
          <t>Fuji</t>
        </is>
      </c>
      <c r="B16" t="inlineStr"/>
      <c r="C16" t="inlineStr">
        <is>
          <t>Ravico</t>
        </is>
      </c>
      <c r="D16" t="inlineStr">
        <is>
          <t>OTGDS</t>
        </is>
      </c>
      <c r="E16" t="inlineStr">
        <is>
          <t>PT AVABANINDO PERKASA</t>
        </is>
      </c>
      <c r="F16" t="inlineStr">
        <is>
          <t>M</t>
        </is>
      </c>
      <c r="G16" t="inlineStr">
        <is>
          <t>7.26.00355</t>
        </is>
      </c>
      <c r="H16" t="inlineStr">
        <is>
          <t>Leads</t>
        </is>
      </c>
      <c r="I16" t="n">
        <v>0</v>
      </c>
      <c r="J16" t="n">
        <v>114</v>
      </c>
      <c r="K16" t="inlineStr">
        <is>
          <t>Reach Truck 1.5 Ton (1 Unit) _ 1 Tahun _ Canvassing awal &amp; Sales Call</t>
        </is>
      </c>
      <c r="L16">
        <f>IF(AND(H16="Leads", J16&lt;=0), "OVERDUE (IDLE)", IF(AND(H16="Leads", J16&lt;=14), "WARNING (3-14 Days)", IF(AND(H16="Prospect", J16&lt;=0), "PROSPECT EXPIRED", "SAFE / ON TRACK")))</f>
        <v/>
      </c>
    </row>
    <row r="17">
      <c r="A17" t="inlineStr">
        <is>
          <t>Fuji</t>
        </is>
      </c>
      <c r="B17" t="inlineStr"/>
      <c r="C17" t="inlineStr">
        <is>
          <t>Ravico</t>
        </is>
      </c>
      <c r="D17" t="inlineStr">
        <is>
          <t>KAGA</t>
        </is>
      </c>
      <c r="E17" t="inlineStr">
        <is>
          <t>PT KAGA ELECTRONICS INDONESIA</t>
        </is>
      </c>
      <c r="F17" t="inlineStr">
        <is>
          <t>M</t>
        </is>
      </c>
      <c r="G17" t="inlineStr">
        <is>
          <t>7.26.00359</t>
        </is>
      </c>
      <c r="H17" t="inlineStr">
        <is>
          <t>Leads</t>
        </is>
      </c>
      <c r="I17" t="n">
        <v>0</v>
      </c>
      <c r="J17" t="n">
        <v>24</v>
      </c>
      <c r="K17" t="inlineStr">
        <is>
          <t>Reach Truck 1.5 Ton (1 Unit) _ 1 Tahun _ Canvassing awal &amp; Sales Call</t>
        </is>
      </c>
      <c r="L17">
        <f>IF(AND(H17="Leads", J17&lt;=0), "OVERDUE (IDLE)", IF(AND(H17="Leads", J17&lt;=14), "WARNING (3-14 Days)", IF(AND(H17="Prospect", J17&lt;=0), "PROSPECT EXPIRED", "SAFE / ON TRACK")))</f>
        <v/>
      </c>
    </row>
    <row r="18">
      <c r="A18" t="inlineStr">
        <is>
          <t>Fuji</t>
        </is>
      </c>
      <c r="B18" t="inlineStr"/>
      <c r="C18" t="inlineStr">
        <is>
          <t>Ravico</t>
        </is>
      </c>
      <c r="D18" t="inlineStr">
        <is>
          <t>KUSANO</t>
        </is>
      </c>
      <c r="E18" t="inlineStr">
        <is>
          <t>PT KUSANO SANGYO INDONESIA</t>
        </is>
      </c>
      <c r="F18" t="inlineStr">
        <is>
          <t>M</t>
        </is>
      </c>
      <c r="G18" t="inlineStr">
        <is>
          <t>7.26.00363</t>
        </is>
      </c>
      <c r="H18" t="inlineStr">
        <is>
          <t>Leads</t>
        </is>
      </c>
      <c r="I18" t="n">
        <v>0</v>
      </c>
      <c r="J18" t="n">
        <v>24</v>
      </c>
      <c r="K18" t="inlineStr">
        <is>
          <t>Reach Truck 1.5 Ton (1 Unit) _ 1 Tahun _ Canvassing awal &amp; Sales Call</t>
        </is>
      </c>
      <c r="L18">
        <f>IF(AND(H18="Leads", J18&lt;=0), "OVERDUE (IDLE)", IF(AND(H18="Leads", J18&lt;=14), "WARNING (3-14 Days)", IF(AND(H18="Prospect", J18&lt;=0), "PROSPECT EXPIRED", "SAFE / ON TRACK")))</f>
        <v/>
      </c>
    </row>
    <row r="19">
      <c r="A19" t="inlineStr">
        <is>
          <t>Fuji</t>
        </is>
      </c>
      <c r="B19" t="inlineStr"/>
      <c r="C19" t="inlineStr">
        <is>
          <t>Ravico</t>
        </is>
      </c>
      <c r="D19" t="inlineStr">
        <is>
          <t>NURMA</t>
        </is>
      </c>
      <c r="E19" t="inlineStr">
        <is>
          <t>PT NURMA HUSADA ABADI</t>
        </is>
      </c>
      <c r="F19" t="inlineStr">
        <is>
          <t>M</t>
        </is>
      </c>
      <c r="G19" t="inlineStr">
        <is>
          <t>7.26.00366</t>
        </is>
      </c>
      <c r="H19" t="inlineStr">
        <is>
          <t>Leads</t>
        </is>
      </c>
      <c r="I19" t="n">
        <v>0</v>
      </c>
      <c r="J19" t="n">
        <v>116</v>
      </c>
      <c r="K19" t="inlineStr">
        <is>
          <t>Reach Truck 1.5 Ton (1 Unit) _ 1 Tahun _ Canvassing awal &amp; Sales Call</t>
        </is>
      </c>
      <c r="L19">
        <f>IF(AND(H19="Leads", J19&lt;=0), "OVERDUE (IDLE)", IF(AND(H19="Leads", J19&lt;=14), "WARNING (3-14 Days)", IF(AND(H19="Prospect", J19&lt;=0), "PROSPECT EXPIRED", "SAFE / ON TRACK")))</f>
        <v/>
      </c>
    </row>
    <row r="20">
      <c r="A20" t="inlineStr">
        <is>
          <t>Fuji</t>
        </is>
      </c>
      <c r="B20" t="inlineStr"/>
      <c r="C20" t="inlineStr">
        <is>
          <t>Ravico</t>
        </is>
      </c>
      <c r="D20" t="inlineStr">
        <is>
          <t>TQOC</t>
        </is>
      </c>
      <c r="E20" t="inlineStr">
        <is>
          <t>PT TOYO QUALITY ONE CORPORATION</t>
        </is>
      </c>
      <c r="F20" t="inlineStr">
        <is>
          <t>M</t>
        </is>
      </c>
      <c r="G20" t="inlineStr">
        <is>
          <t>7.26.00368</t>
        </is>
      </c>
      <c r="H20" t="inlineStr">
        <is>
          <t>Leads</t>
        </is>
      </c>
      <c r="I20" t="n">
        <v>0</v>
      </c>
      <c r="J20" t="n">
        <v>25</v>
      </c>
      <c r="K20" t="inlineStr">
        <is>
          <t>Reach Truck 1.5 Ton (1 Unit) _ 1 Tahun _ Canvassing awal &amp; Sales Call</t>
        </is>
      </c>
      <c r="L20">
        <f>IF(AND(H20="Leads", J20&lt;=0), "OVERDUE (IDLE)", IF(AND(H20="Leads", J20&lt;=14), "WARNING (3-14 Days)", IF(AND(H20="Prospect", J20&lt;=0), "PROSPECT EXPIRED", "SAFE / ON TRACK")))</f>
        <v/>
      </c>
    </row>
    <row r="21">
      <c r="A21" t="inlineStr">
        <is>
          <t>Fuji</t>
        </is>
      </c>
      <c r="B21" t="inlineStr"/>
      <c r="C21" t="inlineStr">
        <is>
          <t>Ravico</t>
        </is>
      </c>
      <c r="D21" t="inlineStr">
        <is>
          <t>NISHINIHON</t>
        </is>
      </c>
      <c r="E21" t="inlineStr">
        <is>
          <t>PT NISHINIHON ELECTRONIC INDONESIA</t>
        </is>
      </c>
      <c r="F21" t="inlineStr">
        <is>
          <t>M</t>
        </is>
      </c>
      <c r="G21" t="inlineStr">
        <is>
          <t>7.26.00377</t>
        </is>
      </c>
      <c r="H21" t="inlineStr">
        <is>
          <t>Leads</t>
        </is>
      </c>
      <c r="I21" t="n">
        <v>0</v>
      </c>
      <c r="J21" t="n">
        <v>29</v>
      </c>
      <c r="K21" t="inlineStr">
        <is>
          <t>Reach Truck 1.5 Ton (1 Unit) _ 1 Tahun _ Canvassing awal &amp; Sales Call</t>
        </is>
      </c>
      <c r="L21">
        <f>IF(AND(H21="Leads", J21&lt;=0), "OVERDUE (IDLE)", IF(AND(H21="Leads", J21&lt;=14), "WARNING (3-14 Days)", IF(AND(H21="Prospect", J21&lt;=0), "PROSPECT EXPIRED", "SAFE / ON TRACK")))</f>
        <v/>
      </c>
    </row>
    <row r="22">
      <c r="A22" t="inlineStr">
        <is>
          <t>Fuji</t>
        </is>
      </c>
      <c r="B22" t="inlineStr"/>
      <c r="C22" t="inlineStr">
        <is>
          <t>Ravico</t>
        </is>
      </c>
      <c r="D22" t="inlineStr">
        <is>
          <t>CPM</t>
        </is>
      </c>
      <c r="E22" t="inlineStr">
        <is>
          <t>PT CIKARANG PERKASA MANUFACTURING</t>
        </is>
      </c>
      <c r="F22" t="inlineStr">
        <is>
          <t>M</t>
        </is>
      </c>
      <c r="G22" t="inlineStr">
        <is>
          <t>7.26.00379</t>
        </is>
      </c>
      <c r="H22" t="inlineStr">
        <is>
          <t>Leads</t>
        </is>
      </c>
      <c r="I22" t="n">
        <v>0</v>
      </c>
      <c r="J22" t="n">
        <v>29</v>
      </c>
      <c r="K22" t="inlineStr">
        <is>
          <t>Reach Truck 1.5 Ton (1 Unit) _ 1 Tahun _ Canvassing awal &amp; Sales Call</t>
        </is>
      </c>
      <c r="L22">
        <f>IF(AND(H22="Leads", J22&lt;=0), "OVERDUE (IDLE)", IF(AND(H22="Leads", J22&lt;=14), "WARNING (3-14 Days)", IF(AND(H22="Prospect", J22&lt;=0), "PROSPECT EXPIRED", "SAFE / ON TRACK")))</f>
        <v/>
      </c>
    </row>
    <row r="23">
      <c r="A23" t="inlineStr">
        <is>
          <t>Fuji</t>
        </is>
      </c>
      <c r="B23" t="inlineStr"/>
      <c r="C23" t="inlineStr">
        <is>
          <t>Ravico</t>
        </is>
      </c>
      <c r="D23" t="inlineStr">
        <is>
          <t>WOODLAM</t>
        </is>
      </c>
      <c r="E23" t="inlineStr">
        <is>
          <t>PT WOODLAM INDONESIA ABADI</t>
        </is>
      </c>
      <c r="F23" t="inlineStr">
        <is>
          <t>M</t>
        </is>
      </c>
      <c r="G23" t="inlineStr">
        <is>
          <t>7.26.00388</t>
        </is>
      </c>
      <c r="H23" t="inlineStr">
        <is>
          <t>Prospect</t>
        </is>
      </c>
      <c r="I23" t="n">
        <v>12</v>
      </c>
      <c r="J23" t="n">
        <v>192</v>
      </c>
      <c r="K23" t="inlineStr">
        <is>
          <t>Forklift 3 Ton (2 Unit) _ 2 Tahun _ SPH Dikirim ke User</t>
        </is>
      </c>
      <c r="L23">
        <f>IF(AND(H23="Leads", J23&lt;=0), "OVERDUE (IDLE)", IF(AND(H23="Leads", J23&lt;=14), "WARNING (3-14 Days)", IF(AND(H23="Prospect", J23&lt;=0), "PROSPECT EXPIRED", "SAFE / ON TRACK")))</f>
        <v/>
      </c>
    </row>
    <row r="24">
      <c r="A24" t="inlineStr">
        <is>
          <t>Fuji</t>
        </is>
      </c>
      <c r="B24" t="inlineStr"/>
      <c r="C24" t="inlineStr">
        <is>
          <t>Ravico</t>
        </is>
      </c>
      <c r="D24" t="inlineStr">
        <is>
          <t>AGSI</t>
        </is>
      </c>
      <c r="E24" t="inlineStr">
        <is>
          <t>PT ANEKA GAS INDUSTRI TBK</t>
        </is>
      </c>
      <c r="F24" t="inlineStr">
        <is>
          <t>S</t>
        </is>
      </c>
      <c r="G24" t="inlineStr">
        <is>
          <t>7.26.00396</t>
        </is>
      </c>
      <c r="H24" t="inlineStr">
        <is>
          <t>Leads</t>
        </is>
      </c>
      <c r="I24" t="n">
        <v>0</v>
      </c>
      <c r="J24" t="n">
        <v>29</v>
      </c>
      <c r="K24" t="inlineStr">
        <is>
          <t>Reach Truck 1.5 Ton (1 Unit) _ 1 Tahun _ Canvassing awal &amp; Sales Call</t>
        </is>
      </c>
      <c r="L24">
        <f>IF(AND(H24="Leads", J24&lt;=0), "OVERDUE (IDLE)", IF(AND(H24="Leads", J24&lt;=14), "WARNING (3-14 Days)", IF(AND(H24="Prospect", J24&lt;=0), "PROSPECT EXPIRED", "SAFE / ON TRACK")))</f>
        <v/>
      </c>
    </row>
    <row r="25">
      <c r="A25" t="inlineStr">
        <is>
          <t>Fuji</t>
        </is>
      </c>
      <c r="B25" t="inlineStr"/>
      <c r="C25" t="inlineStr">
        <is>
          <t>Ravico</t>
        </is>
      </c>
      <c r="D25" t="inlineStr">
        <is>
          <t>DAG</t>
        </is>
      </c>
      <c r="E25" t="inlineStr">
        <is>
          <t>DARMAWAN ARYANSYAH GROUP</t>
        </is>
      </c>
      <c r="F25" t="inlineStr"/>
      <c r="G25" t="inlineStr">
        <is>
          <t>7.26.00415</t>
        </is>
      </c>
      <c r="H25" t="inlineStr">
        <is>
          <t>Leads</t>
        </is>
      </c>
      <c r="I25" t="n">
        <v>0</v>
      </c>
      <c r="J25" t="n">
        <v>29</v>
      </c>
      <c r="K25" t="inlineStr">
        <is>
          <t>Reach Truck 1.5 Ton (1 Unit) _ 1 Tahun _ Canvassing awal &amp; Sales Call</t>
        </is>
      </c>
      <c r="L25">
        <f>IF(AND(H25="Leads", J25&lt;=0), "OVERDUE (IDLE)", IF(AND(H25="Leads", J25&lt;=14), "WARNING (3-14 Days)", IF(AND(H25="Prospect", J25&lt;=0), "PROSPECT EXPIRED", "SAFE / ON TRACK")))</f>
        <v/>
      </c>
    </row>
    <row r="26">
      <c r="A26" t="inlineStr">
        <is>
          <t>Fuji</t>
        </is>
      </c>
      <c r="B26" t="inlineStr"/>
      <c r="C26" t="inlineStr">
        <is>
          <t>Ravico</t>
        </is>
      </c>
      <c r="D26" t="inlineStr">
        <is>
          <t>GRANDMC</t>
        </is>
      </c>
      <c r="E26" t="inlineStr">
        <is>
          <t>GRAND MULTI CHEMICALS</t>
        </is>
      </c>
      <c r="F26" t="inlineStr">
        <is>
          <t>S</t>
        </is>
      </c>
      <c r="G26" t="inlineStr">
        <is>
          <t>7.26.00430</t>
        </is>
      </c>
      <c r="H26" t="inlineStr">
        <is>
          <t>Leads</t>
        </is>
      </c>
      <c r="I26" t="n">
        <v>0</v>
      </c>
      <c r="J26" t="n">
        <v>29</v>
      </c>
      <c r="K26" t="inlineStr">
        <is>
          <t>Reach Truck 1.5 Ton (1 Unit) _ 1 Tahun _ Canvassing awal &amp; Sales Call</t>
        </is>
      </c>
      <c r="L26">
        <f>IF(AND(H26="Leads", J26&lt;=0), "OVERDUE (IDLE)", IF(AND(H26="Leads", J26&lt;=14), "WARNING (3-14 Days)", IF(AND(H26="Prospect", J26&lt;=0), "PROSPECT EXPIRED", "SAFE / ON TRACK")))</f>
        <v/>
      </c>
    </row>
    <row r="27">
      <c r="A27" t="inlineStr">
        <is>
          <t>Fuji</t>
        </is>
      </c>
      <c r="B27" t="inlineStr"/>
      <c r="C27" t="inlineStr">
        <is>
          <t>Ravico</t>
        </is>
      </c>
      <c r="D27" t="inlineStr">
        <is>
          <t>INDOCEMENT</t>
        </is>
      </c>
      <c r="E27" t="inlineStr">
        <is>
          <t>PT INDOCEMENT TUNGGAL PRAKARSA TBK</t>
        </is>
      </c>
      <c r="F27" t="inlineStr">
        <is>
          <t>L</t>
        </is>
      </c>
      <c r="G27" t="inlineStr">
        <is>
          <t>7.26.00451</t>
        </is>
      </c>
      <c r="H27" t="inlineStr">
        <is>
          <t>Leads</t>
        </is>
      </c>
      <c r="I27" t="n">
        <v>0</v>
      </c>
      <c r="J27" t="n">
        <v>29</v>
      </c>
      <c r="K27" t="inlineStr">
        <is>
          <t>Reach Truck 1.5 Ton (1 Unit) _ 1 Tahun _ Canvassing awal &amp; Sales Call</t>
        </is>
      </c>
      <c r="L27">
        <f>IF(AND(H27="Leads", J27&lt;=0), "OVERDUE (IDLE)", IF(AND(H27="Leads", J27&lt;=14), "WARNING (3-14 Days)", IF(AND(H27="Prospect", J27&lt;=0), "PROSPECT EXPIRED", "SAFE / ON TRACK")))</f>
        <v/>
      </c>
    </row>
    <row r="28">
      <c r="A28" t="inlineStr">
        <is>
          <t>Fuji</t>
        </is>
      </c>
      <c r="B28" t="inlineStr"/>
      <c r="C28" t="inlineStr">
        <is>
          <t>Ravico</t>
        </is>
      </c>
      <c r="D28" t="inlineStr">
        <is>
          <t>INTIKARYAP</t>
        </is>
      </c>
      <c r="E28" t="inlineStr">
        <is>
          <t>INTI KARYA PERSADA TEHNIK</t>
        </is>
      </c>
      <c r="F28" t="inlineStr">
        <is>
          <t>L</t>
        </is>
      </c>
      <c r="G28" t="inlineStr">
        <is>
          <t>7.26.00463</t>
        </is>
      </c>
      <c r="H28" t="inlineStr">
        <is>
          <t>Leads</t>
        </is>
      </c>
      <c r="I28" t="n">
        <v>0</v>
      </c>
      <c r="J28" t="n">
        <v>29</v>
      </c>
      <c r="K28" t="inlineStr">
        <is>
          <t>Reach Truck 1.5 Ton (1 Unit) _ 1 Tahun _ Canvassing awal &amp; Sales Call</t>
        </is>
      </c>
      <c r="L28">
        <f>IF(AND(H28="Leads", J28&lt;=0), "OVERDUE (IDLE)", IF(AND(H28="Leads", J28&lt;=14), "WARNING (3-14 Days)", IF(AND(H28="Prospect", J28&lt;=0), "PROSPECT EXPIRED", "SAFE / ON TRACK")))</f>
        <v/>
      </c>
    </row>
    <row r="29">
      <c r="A29" t="inlineStr">
        <is>
          <t>Fuji</t>
        </is>
      </c>
      <c r="B29" t="inlineStr"/>
      <c r="C29" t="inlineStr">
        <is>
          <t>Ravico</t>
        </is>
      </c>
      <c r="D29" t="inlineStr">
        <is>
          <t>ITOKI</t>
        </is>
      </c>
      <c r="E29" t="inlineStr">
        <is>
          <t>ITOKI SOLUTIONS INDONESIA</t>
        </is>
      </c>
      <c r="F29" t="inlineStr"/>
      <c r="G29" t="inlineStr">
        <is>
          <t>7.26.00465</t>
        </is>
      </c>
      <c r="H29" t="inlineStr">
        <is>
          <t>Leads</t>
        </is>
      </c>
      <c r="I29" t="n">
        <v>0</v>
      </c>
      <c r="J29" t="n">
        <v>29</v>
      </c>
      <c r="K29" t="inlineStr">
        <is>
          <t>Reach Truck 1.5 Ton (1 Unit) _ 1 Tahun _ Canvassing awal &amp; Sales Call</t>
        </is>
      </c>
      <c r="L29">
        <f>IF(AND(H29="Leads", J29&lt;=0), "OVERDUE (IDLE)", IF(AND(H29="Leads", J29&lt;=14), "WARNING (3-14 Days)", IF(AND(H29="Prospect", J29&lt;=0), "PROSPECT EXPIRED", "SAFE / ON TRACK")))</f>
        <v/>
      </c>
    </row>
    <row r="30">
      <c r="A30" t="inlineStr">
        <is>
          <t>Fuji</t>
        </is>
      </c>
      <c r="B30" t="inlineStr"/>
      <c r="C30" t="inlineStr">
        <is>
          <t>Ravico</t>
        </is>
      </c>
      <c r="D30" t="inlineStr">
        <is>
          <t>JAWASATU</t>
        </is>
      </c>
      <c r="E30" t="inlineStr">
        <is>
          <t>JAWA SATU POWER</t>
        </is>
      </c>
      <c r="F30" t="inlineStr"/>
      <c r="G30" t="inlineStr">
        <is>
          <t>7.26.00467</t>
        </is>
      </c>
      <c r="H30" t="inlineStr">
        <is>
          <t>Leads</t>
        </is>
      </c>
      <c r="I30" t="n">
        <v>0</v>
      </c>
      <c r="J30" t="n">
        <v>29</v>
      </c>
      <c r="K30" t="inlineStr">
        <is>
          <t>Reach Truck 1.5 Ton (1 Unit) _ 1 Tahun _ Canvassing awal &amp; Sales Call</t>
        </is>
      </c>
      <c r="L30">
        <f>IF(AND(H30="Leads", J30&lt;=0), "OVERDUE (IDLE)", IF(AND(H30="Leads", J30&lt;=14), "WARNING (3-14 Days)", IF(AND(H30="Prospect", J30&lt;=0), "PROSPECT EXPIRED", "SAFE / ON TRACK")))</f>
        <v/>
      </c>
    </row>
    <row r="31">
      <c r="A31" t="inlineStr">
        <is>
          <t>Fuji</t>
        </is>
      </c>
      <c r="B31" t="inlineStr"/>
      <c r="C31" t="inlineStr">
        <is>
          <t>Ravico</t>
        </is>
      </c>
      <c r="D31" t="inlineStr">
        <is>
          <t>GRAHABARA</t>
        </is>
      </c>
      <c r="E31" t="inlineStr">
        <is>
          <t>GRAHA BARA LESTARI</t>
        </is>
      </c>
      <c r="F31" t="inlineStr"/>
      <c r="G31" t="inlineStr">
        <is>
          <t>7.26.00513</t>
        </is>
      </c>
      <c r="H31" t="inlineStr">
        <is>
          <t>Leads</t>
        </is>
      </c>
      <c r="I31" t="n">
        <v>0</v>
      </c>
      <c r="J31" t="n">
        <v>36</v>
      </c>
      <c r="K31" t="inlineStr">
        <is>
          <t>Reach Truck 1.5 Ton (1 Unit) _ 1 Tahun _ Canvassing awal &amp; Sales Call</t>
        </is>
      </c>
      <c r="L31">
        <f>IF(AND(H31="Leads", J31&lt;=0), "OVERDUE (IDLE)", IF(AND(H31="Leads", J31&lt;=14), "WARNING (3-14 Days)", IF(AND(H31="Prospect", J31&lt;=0), "PROSPECT EXPIRED", "SAFE / ON TRACK")))</f>
        <v/>
      </c>
    </row>
    <row r="32">
      <c r="A32" t="inlineStr">
        <is>
          <t>Fuji</t>
        </is>
      </c>
      <c r="B32" t="inlineStr"/>
      <c r="C32" t="inlineStr">
        <is>
          <t>Ravico</t>
        </is>
      </c>
      <c r="D32" t="inlineStr">
        <is>
          <t>JADDIINTER</t>
        </is>
      </c>
      <c r="E32" t="inlineStr">
        <is>
          <t>JADDI INTERNASIONAL</t>
        </is>
      </c>
      <c r="F32" t="inlineStr"/>
      <c r="G32" t="inlineStr">
        <is>
          <t>7.26.00519</t>
        </is>
      </c>
      <c r="H32" t="inlineStr">
        <is>
          <t>Leads</t>
        </is>
      </c>
      <c r="I32" t="n">
        <v>0</v>
      </c>
      <c r="J32" t="n">
        <v>36</v>
      </c>
      <c r="K32" t="inlineStr">
        <is>
          <t>Reach Truck 1.5 Ton (1 Unit) _ 1 Tahun _ Canvassing awal &amp; Sales Call</t>
        </is>
      </c>
      <c r="L32">
        <f>IF(AND(H32="Leads", J32&lt;=0), "OVERDUE (IDLE)", IF(AND(H32="Leads", J32&lt;=14), "WARNING (3-14 Days)", IF(AND(H32="Prospect", J32&lt;=0), "PROSPECT EXPIRED", "SAFE / ON TRACK")))</f>
        <v/>
      </c>
    </row>
    <row r="33">
      <c r="A33" t="inlineStr">
        <is>
          <t>Fuji</t>
        </is>
      </c>
      <c r="B33" t="inlineStr"/>
      <c r="C33" t="inlineStr">
        <is>
          <t>Ravico</t>
        </is>
      </c>
      <c r="D33" t="inlineStr">
        <is>
          <t>UNGGULBUDI</t>
        </is>
      </c>
      <c r="E33" t="inlineStr">
        <is>
          <t>PT UNGGUL BUDI LESTARI</t>
        </is>
      </c>
      <c r="F33" t="inlineStr">
        <is>
          <t>L</t>
        </is>
      </c>
      <c r="G33" t="inlineStr">
        <is>
          <t>7.26.00576</t>
        </is>
      </c>
      <c r="H33" t="inlineStr">
        <is>
          <t>Leads</t>
        </is>
      </c>
      <c r="I33" t="n">
        <v>0</v>
      </c>
      <c r="J33" t="n">
        <v>43</v>
      </c>
      <c r="K33" t="inlineStr">
        <is>
          <t>Reach Truck 1.5 Ton (1 Unit) _ 1 Tahun _ Canvassing awal &amp; Sales Call</t>
        </is>
      </c>
      <c r="L33">
        <f>IF(AND(H33="Leads", J33&lt;=0), "OVERDUE (IDLE)", IF(AND(H33="Leads", J33&lt;=14), "WARNING (3-14 Days)", IF(AND(H33="Prospect", J33&lt;=0), "PROSPECT EXPIRED", "SAFE / ON TRACK")))</f>
        <v/>
      </c>
    </row>
    <row r="34">
      <c r="A34" t="inlineStr">
        <is>
          <t>Fuji</t>
        </is>
      </c>
      <c r="B34" t="inlineStr"/>
      <c r="C34" t="inlineStr">
        <is>
          <t>Ravico</t>
        </is>
      </c>
      <c r="D34" t="inlineStr">
        <is>
          <t>LOGICOM</t>
        </is>
      </c>
      <c r="E34" t="inlineStr">
        <is>
          <t>PT LOGICOM CAKRA INDONESIA</t>
        </is>
      </c>
      <c r="F34" t="inlineStr">
        <is>
          <t>M</t>
        </is>
      </c>
      <c r="G34" t="inlineStr">
        <is>
          <t>7.26.00588</t>
        </is>
      </c>
      <c r="H34" t="inlineStr">
        <is>
          <t>Leads</t>
        </is>
      </c>
      <c r="I34" t="n">
        <v>0</v>
      </c>
      <c r="J34" t="n">
        <v>50</v>
      </c>
      <c r="K34" t="inlineStr">
        <is>
          <t>Reach Truck 1.5 Ton (1 Unit) _ 1 Tahun _ Canvassing awal &amp; Sales Call</t>
        </is>
      </c>
      <c r="L34">
        <f>IF(AND(H34="Leads", J34&lt;=0), "OVERDUE (IDLE)", IF(AND(H34="Leads", J34&lt;=14), "WARNING (3-14 Days)", IF(AND(H34="Prospect", J34&lt;=0), "PROSPECT EXPIRED", "SAFE / ON TRACK")))</f>
        <v/>
      </c>
    </row>
    <row r="35">
      <c r="A35" t="inlineStr">
        <is>
          <t>Fuji</t>
        </is>
      </c>
      <c r="B35" t="inlineStr"/>
      <c r="C35" t="inlineStr">
        <is>
          <t>Ravico</t>
        </is>
      </c>
      <c r="D35" t="inlineStr">
        <is>
          <t>PPPT</t>
        </is>
      </c>
      <c r="E35" t="inlineStr">
        <is>
          <t>PT POLYMINDO PERMATA</t>
        </is>
      </c>
      <c r="F35" t="inlineStr">
        <is>
          <t>M</t>
        </is>
      </c>
      <c r="G35" t="inlineStr">
        <is>
          <t>7.26.00593</t>
        </is>
      </c>
      <c r="H35" t="inlineStr">
        <is>
          <t>Leads</t>
        </is>
      </c>
      <c r="I35" t="n">
        <v>0</v>
      </c>
      <c r="J35" t="n">
        <v>52</v>
      </c>
      <c r="K35" t="inlineStr">
        <is>
          <t>Reach Truck 1.5 Ton (1 Unit) _ 1 Tahun _ Canvassing awal &amp; Sales Call</t>
        </is>
      </c>
      <c r="L35">
        <f>IF(AND(H35="Leads", J35&lt;=0), "OVERDUE (IDLE)", IF(AND(H35="Leads", J35&lt;=14), "WARNING (3-14 Days)", IF(AND(H35="Prospect", J35&lt;=0), "PROSPECT EXPIRED", "SAFE / ON TRACK")))</f>
        <v/>
      </c>
    </row>
    <row r="36">
      <c r="A36" t="inlineStr">
        <is>
          <t>Fuji</t>
        </is>
      </c>
      <c r="B36" t="inlineStr"/>
      <c r="C36" t="inlineStr">
        <is>
          <t>Ravico</t>
        </is>
      </c>
      <c r="D36" t="inlineStr">
        <is>
          <t>AYODYA</t>
        </is>
      </c>
      <c r="E36" t="inlineStr">
        <is>
          <t>PT AYODYA DIALOG SEMESTA</t>
        </is>
      </c>
      <c r="F36" t="inlineStr">
        <is>
          <t>M</t>
        </is>
      </c>
      <c r="G36" t="inlineStr">
        <is>
          <t>7.26.00612</t>
        </is>
      </c>
      <c r="H36" t="inlineStr">
        <is>
          <t>Leads</t>
        </is>
      </c>
      <c r="I36" t="n">
        <v>0</v>
      </c>
      <c r="J36" t="n">
        <v>59</v>
      </c>
      <c r="K36" t="inlineStr">
        <is>
          <t>Reach Truck 1.5 Ton (1 Unit) _ 1 Tahun _ Canvassing awal &amp; Sales Call</t>
        </is>
      </c>
      <c r="L36">
        <f>IF(AND(H36="Leads", J36&lt;=0), "OVERDUE (IDLE)", IF(AND(H36="Leads", J36&lt;=14), "WARNING (3-14 Days)", IF(AND(H36="Prospect", J36&lt;=0), "PROSPECT EXPIRED", "SAFE / ON TRACK")))</f>
        <v/>
      </c>
    </row>
    <row r="37">
      <c r="A37" t="inlineStr">
        <is>
          <t>Fuji</t>
        </is>
      </c>
      <c r="B37" t="inlineStr"/>
      <c r="C37" t="inlineStr">
        <is>
          <t>Ravico</t>
        </is>
      </c>
      <c r="D37" t="inlineStr">
        <is>
          <t>FOTEC</t>
        </is>
      </c>
      <c r="E37" t="inlineStr">
        <is>
          <t>PT FOTEC INTER MAKMUR</t>
        </is>
      </c>
      <c r="F37" t="inlineStr">
        <is>
          <t>M</t>
        </is>
      </c>
      <c r="G37" t="inlineStr">
        <is>
          <t>7.26.00613</t>
        </is>
      </c>
      <c r="H37" t="inlineStr">
        <is>
          <t>Leads</t>
        </is>
      </c>
      <c r="I37" t="n">
        <v>0</v>
      </c>
      <c r="J37" t="n">
        <v>59</v>
      </c>
      <c r="K37" t="inlineStr">
        <is>
          <t>Reach Truck 1.5 Ton (1 Unit) _ 1 Tahun _ Canvassing awal &amp; Sales Call</t>
        </is>
      </c>
      <c r="L37">
        <f>IF(AND(H37="Leads", J37&lt;=0), "OVERDUE (IDLE)", IF(AND(H37="Leads", J37&lt;=14), "WARNING (3-14 Days)", IF(AND(H37="Prospect", J37&lt;=0), "PROSPECT EXPIRED", "SAFE / ON TRACK")))</f>
        <v/>
      </c>
    </row>
    <row r="38">
      <c r="A38" t="inlineStr">
        <is>
          <t>Fuji</t>
        </is>
      </c>
      <c r="B38" t="inlineStr"/>
      <c r="C38" t="inlineStr">
        <is>
          <t>Ravico</t>
        </is>
      </c>
      <c r="D38" t="inlineStr">
        <is>
          <t>DPIPT</t>
        </is>
      </c>
      <c r="E38" t="inlineStr">
        <is>
          <t>PT DAYA PIONEER INTERNATIONAL</t>
        </is>
      </c>
      <c r="F38" t="inlineStr">
        <is>
          <t>M</t>
        </is>
      </c>
      <c r="G38" t="inlineStr">
        <is>
          <t>7.26.00626</t>
        </is>
      </c>
      <c r="H38" t="inlineStr">
        <is>
          <t>Leads</t>
        </is>
      </c>
      <c r="I38" t="n">
        <v>0</v>
      </c>
      <c r="J38" t="n">
        <v>59</v>
      </c>
      <c r="K38" t="inlineStr">
        <is>
          <t>Reach Truck 1.5 Ton (1 Unit) _ 1 Tahun _ Canvassing awal &amp; Sales Call</t>
        </is>
      </c>
      <c r="L38">
        <f>IF(AND(H38="Leads", J38&lt;=0), "OVERDUE (IDLE)", IF(AND(H38="Leads", J38&lt;=14), "WARNING (3-14 Days)", IF(AND(H38="Prospect", J38&lt;=0), "PROSPECT EXPIRED", "SAFE / ON TRACK")))</f>
        <v/>
      </c>
    </row>
    <row r="39">
      <c r="A39" t="inlineStr">
        <is>
          <t>Fuji</t>
        </is>
      </c>
      <c r="B39" t="inlineStr"/>
      <c r="C39" t="inlineStr">
        <is>
          <t>Ravico</t>
        </is>
      </c>
      <c r="D39" t="inlineStr">
        <is>
          <t>MAXISNACKS</t>
        </is>
      </c>
      <c r="E39" t="inlineStr">
        <is>
          <t>MAXINDO KARYA ANUGERAH</t>
        </is>
      </c>
      <c r="F39" t="inlineStr">
        <is>
          <t>S</t>
        </is>
      </c>
      <c r="G39" t="inlineStr">
        <is>
          <t>7.26.00633</t>
        </is>
      </c>
      <c r="H39" t="inlineStr">
        <is>
          <t>Leads</t>
        </is>
      </c>
      <c r="I39" t="n">
        <v>0</v>
      </c>
      <c r="J39" t="n">
        <v>60</v>
      </c>
      <c r="K39" t="inlineStr">
        <is>
          <t>Reach Truck 1.5 Ton (1 Unit) _ 1 Tahun _ Canvassing awal &amp; Sales Call</t>
        </is>
      </c>
      <c r="L39">
        <f>IF(AND(H39="Leads", J39&lt;=0), "OVERDUE (IDLE)", IF(AND(H39="Leads", J39&lt;=14), "WARNING (3-14 Days)", IF(AND(H39="Prospect", J39&lt;=0), "PROSPECT EXPIRED", "SAFE / ON TRACK")))</f>
        <v/>
      </c>
    </row>
    <row r="40">
      <c r="A40" t="inlineStr">
        <is>
          <t>Fuji</t>
        </is>
      </c>
      <c r="B40" t="inlineStr"/>
      <c r="C40" t="inlineStr">
        <is>
          <t>Ravico</t>
        </is>
      </c>
      <c r="D40" t="inlineStr">
        <is>
          <t>GMN</t>
        </is>
      </c>
      <c r="E40" t="inlineStr">
        <is>
          <t>PT GESITS MOTOR NUSANTARA</t>
        </is>
      </c>
      <c r="F40" t="inlineStr">
        <is>
          <t>M</t>
        </is>
      </c>
      <c r="G40" t="inlineStr">
        <is>
          <t>7.26.00636</t>
        </is>
      </c>
      <c r="H40" t="inlineStr">
        <is>
          <t>Leads</t>
        </is>
      </c>
      <c r="I40" t="n">
        <v>0</v>
      </c>
      <c r="J40" t="n">
        <v>60</v>
      </c>
      <c r="K40" t="inlineStr">
        <is>
          <t>Reach Truck 1.5 Ton (1 Unit) _ 1 Tahun _ Canvassing awal &amp; Sales Call</t>
        </is>
      </c>
      <c r="L40">
        <f>IF(AND(H40="Leads", J40&lt;=0), "OVERDUE (IDLE)", IF(AND(H40="Leads", J40&lt;=14), "WARNING (3-14 Days)", IF(AND(H40="Prospect", J40&lt;=0), "PROSPECT EXPIRED", "SAFE / ON TRACK")))</f>
        <v/>
      </c>
    </row>
    <row r="41">
      <c r="A41" t="inlineStr">
        <is>
          <t>Fuji</t>
        </is>
      </c>
      <c r="B41" t="inlineStr"/>
      <c r="C41" t="inlineStr">
        <is>
          <t>Ravico</t>
        </is>
      </c>
      <c r="D41" t="inlineStr">
        <is>
          <t>GBPT</t>
        </is>
      </c>
      <c r="E41" t="inlineStr">
        <is>
          <t>PT GLOBALINDO SUKSES TBK</t>
        </is>
      </c>
      <c r="F41" t="inlineStr">
        <is>
          <t>S</t>
        </is>
      </c>
      <c r="G41" t="inlineStr">
        <is>
          <t>7.26.00637</t>
        </is>
      </c>
      <c r="H41" t="inlineStr">
        <is>
          <t>Leads</t>
        </is>
      </c>
      <c r="I41" t="n">
        <v>0</v>
      </c>
      <c r="J41" t="n">
        <v>60</v>
      </c>
      <c r="K41" t="inlineStr">
        <is>
          <t>Reach Truck 1.5 Ton (1 Unit) _ 1 Tahun _ Canvassing awal &amp; Sales Call</t>
        </is>
      </c>
      <c r="L41">
        <f>IF(AND(H41="Leads", J41&lt;=0), "OVERDUE (IDLE)", IF(AND(H41="Leads", J41&lt;=14), "WARNING (3-14 Days)", IF(AND(H41="Prospect", J41&lt;=0), "PROSPECT EXPIRED", "SAFE / ON TRACK")))</f>
        <v/>
      </c>
    </row>
    <row r="42">
      <c r="A42" t="inlineStr">
        <is>
          <t>Fuji</t>
        </is>
      </c>
      <c r="B42" t="inlineStr"/>
      <c r="C42" t="inlineStr">
        <is>
          <t>Ravico</t>
        </is>
      </c>
      <c r="D42" t="inlineStr">
        <is>
          <t>GTNPT</t>
        </is>
      </c>
      <c r="E42" t="inlineStr">
        <is>
          <t>PT GAYAMAKMUR TECHNO NUSANTARA</t>
        </is>
      </c>
      <c r="F42" t="inlineStr">
        <is>
          <t>M</t>
        </is>
      </c>
      <c r="G42" t="inlineStr">
        <is>
          <t>7.26.00660</t>
        </is>
      </c>
      <c r="H42" t="inlineStr">
        <is>
          <t>Leads</t>
        </is>
      </c>
      <c r="I42" t="n">
        <v>0</v>
      </c>
      <c r="J42" t="n">
        <v>65</v>
      </c>
      <c r="K42" t="inlineStr">
        <is>
          <t>Reach Truck 1.5 Ton (1 Unit) _ 1 Tahun _ Canvassing awal &amp; Sales Call</t>
        </is>
      </c>
      <c r="L42">
        <f>IF(AND(H42="Leads", J42&lt;=0), "OVERDUE (IDLE)", IF(AND(H42="Leads", J42&lt;=14), "WARNING (3-14 Days)", IF(AND(H42="Prospect", J42&lt;=0), "PROSPECT EXPIRED", "SAFE / ON TRACK")))</f>
        <v/>
      </c>
    </row>
    <row r="43">
      <c r="A43" t="inlineStr">
        <is>
          <t>Fuji</t>
        </is>
      </c>
      <c r="B43" t="inlineStr"/>
      <c r="C43" t="inlineStr">
        <is>
          <t>Ravico</t>
        </is>
      </c>
      <c r="D43" t="inlineStr">
        <is>
          <t>AAS</t>
        </is>
      </c>
      <c r="E43" t="inlineStr">
        <is>
          <t>PT ANUGRAH ANALISIS SEMPURNA</t>
        </is>
      </c>
      <c r="F43" t="inlineStr">
        <is>
          <t>M</t>
        </is>
      </c>
      <c r="G43" t="inlineStr">
        <is>
          <t>7.26.00675</t>
        </is>
      </c>
      <c r="H43" t="inlineStr">
        <is>
          <t>Leads</t>
        </is>
      </c>
      <c r="I43" t="n">
        <v>0</v>
      </c>
      <c r="J43" t="n">
        <v>164</v>
      </c>
      <c r="K43" t="inlineStr">
        <is>
          <t>Reach Truck 1.5 Ton (1 Unit) _ 1 Tahun _ Canvassing awal &amp; Sales Call</t>
        </is>
      </c>
      <c r="L43">
        <f>IF(AND(H43="Leads", J43&lt;=0), "OVERDUE (IDLE)", IF(AND(H43="Leads", J43&lt;=14), "WARNING (3-14 Days)", IF(AND(H43="Prospect", J43&lt;=0), "PROSPECT EXPIRED", "SAFE / ON TRACK")))</f>
        <v/>
      </c>
    </row>
    <row r="44">
      <c r="A44" t="inlineStr">
        <is>
          <t>Fuji</t>
        </is>
      </c>
      <c r="B44" t="inlineStr"/>
      <c r="C44" t="inlineStr">
        <is>
          <t>Ravico</t>
        </is>
      </c>
      <c r="D44" t="inlineStr">
        <is>
          <t>USC</t>
        </is>
      </c>
      <c r="E44" t="inlineStr">
        <is>
          <t>PT UNITED STEEL CENTER INDONESIA</t>
        </is>
      </c>
      <c r="F44" t="inlineStr">
        <is>
          <t>L</t>
        </is>
      </c>
      <c r="G44" t="inlineStr">
        <is>
          <t>7.26.00677</t>
        </is>
      </c>
      <c r="H44" t="inlineStr">
        <is>
          <t>Leads</t>
        </is>
      </c>
      <c r="I44" t="n">
        <v>0</v>
      </c>
      <c r="J44" t="n">
        <v>164</v>
      </c>
      <c r="K44" t="inlineStr">
        <is>
          <t>Reach Truck 1.5 Ton (1 Unit) _ 1 Tahun _ Canvassing awal &amp; Sales Call</t>
        </is>
      </c>
      <c r="L44">
        <f>IF(AND(H44="Leads", J44&lt;=0), "OVERDUE (IDLE)", IF(AND(H44="Leads", J44&lt;=14), "WARNING (3-14 Days)", IF(AND(H44="Prospect", J44&lt;=0), "PROSPECT EXPIRED", "SAFE / ON TRACK")))</f>
        <v/>
      </c>
    </row>
    <row r="45">
      <c r="A45" t="inlineStr">
        <is>
          <t>Fuji</t>
        </is>
      </c>
      <c r="B45" t="inlineStr"/>
      <c r="C45" t="inlineStr">
        <is>
          <t>Ravico</t>
        </is>
      </c>
      <c r="D45" t="inlineStr">
        <is>
          <t>APS</t>
        </is>
      </c>
      <c r="E45" t="inlineStr">
        <is>
          <t>PT ANGKASA PURA SOLUSI</t>
        </is>
      </c>
      <c r="F45" t="inlineStr">
        <is>
          <t>M</t>
        </is>
      </c>
      <c r="G45" t="inlineStr">
        <is>
          <t>7.26.00678</t>
        </is>
      </c>
      <c r="H45" t="inlineStr">
        <is>
          <t>Leads</t>
        </is>
      </c>
      <c r="I45" t="n">
        <v>0</v>
      </c>
      <c r="J45" t="n">
        <v>71</v>
      </c>
      <c r="K45" t="inlineStr">
        <is>
          <t>Reach Truck 1.5 Ton (1 Unit) _ 1 Tahun _ Canvassing awal &amp; Sales Call</t>
        </is>
      </c>
      <c r="L45">
        <f>IF(AND(H45="Leads", J45&lt;=0), "OVERDUE (IDLE)", IF(AND(H45="Leads", J45&lt;=14), "WARNING (3-14 Days)", IF(AND(H45="Prospect", J45&lt;=0), "PROSPECT EXPIRED", "SAFE / ON TRACK")))</f>
        <v/>
      </c>
    </row>
    <row r="46">
      <c r="A46" t="inlineStr">
        <is>
          <t>Fuji</t>
        </is>
      </c>
      <c r="B46" t="inlineStr"/>
      <c r="C46" t="inlineStr">
        <is>
          <t>Ravico</t>
        </is>
      </c>
      <c r="D46" t="inlineStr">
        <is>
          <t>SCTPT</t>
        </is>
      </c>
      <c r="E46" t="inlineStr">
        <is>
          <t>PT STARINDO CLEANING TECHNOLOGIES</t>
        </is>
      </c>
      <c r="F46" t="inlineStr">
        <is>
          <t>M</t>
        </is>
      </c>
      <c r="G46" t="inlineStr">
        <is>
          <t>7.26.00695</t>
        </is>
      </c>
      <c r="H46" t="inlineStr">
        <is>
          <t>Leads</t>
        </is>
      </c>
      <c r="I46" t="n">
        <v>0</v>
      </c>
      <c r="J46" t="n">
        <v>73</v>
      </c>
      <c r="K46" t="inlineStr">
        <is>
          <t>Reach Truck 1.5 Ton (1 Unit) _ 1 Tahun _ Canvassing awal &amp; Sales Call</t>
        </is>
      </c>
      <c r="L46">
        <f>IF(AND(H46="Leads", J46&lt;=0), "OVERDUE (IDLE)", IF(AND(H46="Leads", J46&lt;=14), "WARNING (3-14 Days)", IF(AND(H46="Prospect", J46&lt;=0), "PROSPECT EXPIRED", "SAFE / ON TRACK")))</f>
        <v/>
      </c>
    </row>
    <row r="47">
      <c r="A47" t="inlineStr">
        <is>
          <t>Fuji</t>
        </is>
      </c>
      <c r="B47" t="inlineStr"/>
      <c r="C47" t="inlineStr">
        <is>
          <t>Ravico</t>
        </is>
      </c>
      <c r="D47" t="inlineStr">
        <is>
          <t>SRAPT</t>
        </is>
      </c>
      <c r="E47" t="inlineStr">
        <is>
          <t>PT STRATEJIK REKACIPTA ANDALAN</t>
        </is>
      </c>
      <c r="F47" t="inlineStr">
        <is>
          <t>M</t>
        </is>
      </c>
      <c r="G47" t="inlineStr">
        <is>
          <t>7.26.00696</t>
        </is>
      </c>
      <c r="H47" t="inlineStr">
        <is>
          <t>Leads</t>
        </is>
      </c>
      <c r="I47" t="n">
        <v>0</v>
      </c>
      <c r="J47" t="n">
        <v>73</v>
      </c>
      <c r="K47" t="inlineStr">
        <is>
          <t>Reach Truck 1.5 Ton (1 Unit) _ 1 Tahun _ Canvassing awal &amp; Sales Call</t>
        </is>
      </c>
      <c r="L47">
        <f>IF(AND(H47="Leads", J47&lt;=0), "OVERDUE (IDLE)", IF(AND(H47="Leads", J47&lt;=14), "WARNING (3-14 Days)", IF(AND(H47="Prospect", J47&lt;=0), "PROSPECT EXPIRED", "SAFE / ON TRACK")))</f>
        <v/>
      </c>
    </row>
    <row r="48">
      <c r="A48" t="inlineStr">
        <is>
          <t>Fuji</t>
        </is>
      </c>
      <c r="B48" t="inlineStr"/>
      <c r="C48" t="inlineStr">
        <is>
          <t>Ravico</t>
        </is>
      </c>
      <c r="D48" t="inlineStr">
        <is>
          <t>PTIPT</t>
        </is>
      </c>
      <c r="E48" t="inlineStr">
        <is>
          <t>PT PIOVAN TECHNOLOGY INDONESIA</t>
        </is>
      </c>
      <c r="F48" t="inlineStr">
        <is>
          <t>M</t>
        </is>
      </c>
      <c r="G48" t="inlineStr">
        <is>
          <t>7.26.00700</t>
        </is>
      </c>
      <c r="H48" t="inlineStr">
        <is>
          <t>Leads</t>
        </is>
      </c>
      <c r="I48" t="n">
        <v>0</v>
      </c>
      <c r="J48" t="n">
        <v>74</v>
      </c>
      <c r="K48" t="inlineStr">
        <is>
          <t>Reach Truck 1.5 Ton (1 Unit) _ 1 Tahun _ Canvassing awal &amp; Sales Call</t>
        </is>
      </c>
      <c r="L48">
        <f>IF(AND(H48="Leads", J48&lt;=0), "OVERDUE (IDLE)", IF(AND(H48="Leads", J48&lt;=14), "WARNING (3-14 Days)", IF(AND(H48="Prospect", J48&lt;=0), "PROSPECT EXPIRED", "SAFE / ON TRACK")))</f>
        <v/>
      </c>
    </row>
    <row r="49">
      <c r="A49" t="inlineStr">
        <is>
          <t>Fuji</t>
        </is>
      </c>
      <c r="B49" t="inlineStr"/>
      <c r="C49" t="inlineStr">
        <is>
          <t>Ravico</t>
        </is>
      </c>
      <c r="D49" t="inlineStr">
        <is>
          <t>KYOTOSEIKO</t>
        </is>
      </c>
      <c r="E49" t="inlineStr">
        <is>
          <t>PT KYOTOSEIKO INDONESIA</t>
        </is>
      </c>
      <c r="F49" t="inlineStr">
        <is>
          <t>S</t>
        </is>
      </c>
      <c r="G49" t="inlineStr">
        <is>
          <t>7.26.00710</t>
        </is>
      </c>
      <c r="H49" t="inlineStr">
        <is>
          <t>Leads</t>
        </is>
      </c>
      <c r="I49" t="n">
        <v>0</v>
      </c>
      <c r="J49" t="n">
        <v>77</v>
      </c>
      <c r="K49" t="inlineStr">
        <is>
          <t>Reach Truck 1.5 Ton (1 Unit) _ 1 Tahun _ Canvassing awal &amp; Sales Call</t>
        </is>
      </c>
      <c r="L49">
        <f>IF(AND(H49="Leads", J49&lt;=0), "OVERDUE (IDLE)", IF(AND(H49="Leads", J49&lt;=14), "WARNING (3-14 Days)", IF(AND(H49="Prospect", J49&lt;=0), "PROSPECT EXPIRED", "SAFE / ON TRACK")))</f>
        <v/>
      </c>
    </row>
    <row r="50">
      <c r="A50" t="inlineStr">
        <is>
          <t>Fuji</t>
        </is>
      </c>
      <c r="B50" t="inlineStr"/>
      <c r="C50" t="inlineStr">
        <is>
          <t>Ravico</t>
        </is>
      </c>
      <c r="D50" t="inlineStr">
        <is>
          <t>SINSYN</t>
        </is>
      </c>
      <c r="E50" t="inlineStr">
        <is>
          <t>SINAR SYNO KIMIA</t>
        </is>
      </c>
      <c r="F50" t="inlineStr"/>
      <c r="G50" t="inlineStr">
        <is>
          <t>7.26.00711</t>
        </is>
      </c>
      <c r="H50" t="inlineStr">
        <is>
          <t>Leads</t>
        </is>
      </c>
      <c r="I50" t="n">
        <v>0</v>
      </c>
      <c r="J50" t="n">
        <v>77</v>
      </c>
      <c r="K50" t="inlineStr">
        <is>
          <t>Reach Truck 1.5 Ton (1 Unit) _ 1 Tahun _ Canvassing awal &amp; Sales Call</t>
        </is>
      </c>
      <c r="L50">
        <f>IF(AND(H50="Leads", J50&lt;=0), "OVERDUE (IDLE)", IF(AND(H50="Leads", J50&lt;=14), "WARNING (3-14 Days)", IF(AND(H50="Prospect", J50&lt;=0), "PROSPECT EXPIRED", "SAFE / ON TRACK")))</f>
        <v/>
      </c>
    </row>
    <row r="51">
      <c r="A51" t="inlineStr">
        <is>
          <t>Fuji</t>
        </is>
      </c>
      <c r="B51" t="inlineStr"/>
      <c r="C51" t="inlineStr">
        <is>
          <t>Ravico</t>
        </is>
      </c>
      <c r="D51" t="inlineStr">
        <is>
          <t>JMTPT</t>
        </is>
      </c>
      <c r="E51" t="inlineStr">
        <is>
          <t>PT JAYA METAL TEKNIKA</t>
        </is>
      </c>
      <c r="F51" t="inlineStr">
        <is>
          <t>M</t>
        </is>
      </c>
      <c r="G51" t="inlineStr">
        <is>
          <t>7.26.00715</t>
        </is>
      </c>
      <c r="H51" t="inlineStr">
        <is>
          <t>Leads</t>
        </is>
      </c>
      <c r="I51" t="n">
        <v>0</v>
      </c>
      <c r="J51" t="n">
        <v>79</v>
      </c>
      <c r="K51" t="inlineStr">
        <is>
          <t>Reach Truck 1.5 Ton (1 Unit) _ 1 Tahun _ Canvassing awal &amp; Sales Call</t>
        </is>
      </c>
      <c r="L51">
        <f>IF(AND(H51="Leads", J51&lt;=0), "OVERDUE (IDLE)", IF(AND(H51="Leads", J51&lt;=14), "WARNING (3-14 Days)", IF(AND(H51="Prospect", J51&lt;=0), "PROSPECT EXPIRED", "SAFE / ON TRACK")))</f>
        <v/>
      </c>
    </row>
    <row r="52">
      <c r="A52" t="inlineStr">
        <is>
          <t>Fuji</t>
        </is>
      </c>
      <c r="B52" t="inlineStr"/>
      <c r="C52" t="inlineStr">
        <is>
          <t>Ravico</t>
        </is>
      </c>
      <c r="D52" t="inlineStr">
        <is>
          <t>SMTPT</t>
        </is>
      </c>
      <c r="E52" t="inlineStr">
        <is>
          <t>PT SMT INDONESIA</t>
        </is>
      </c>
      <c r="F52" t="inlineStr">
        <is>
          <t>M</t>
        </is>
      </c>
      <c r="G52" t="inlineStr">
        <is>
          <t>7.26.00718</t>
        </is>
      </c>
      <c r="H52" t="inlineStr">
        <is>
          <t>Leads</t>
        </is>
      </c>
      <c r="I52" t="n">
        <v>0</v>
      </c>
      <c r="J52" t="n">
        <v>79</v>
      </c>
      <c r="K52" t="inlineStr">
        <is>
          <t>Reach Truck 1.5 Ton (1 Unit) _ 1 Tahun _ Canvassing awal &amp; Sales Call</t>
        </is>
      </c>
      <c r="L52">
        <f>IF(AND(H52="Leads", J52&lt;=0), "OVERDUE (IDLE)", IF(AND(H52="Leads", J52&lt;=14), "WARNING (3-14 Days)", IF(AND(H52="Prospect", J52&lt;=0), "PROSPECT EXPIRED", "SAFE / ON TRACK")))</f>
        <v/>
      </c>
    </row>
    <row r="53">
      <c r="A53" t="inlineStr">
        <is>
          <t>Fuji</t>
        </is>
      </c>
      <c r="B53" t="inlineStr"/>
      <c r="C53" t="inlineStr">
        <is>
          <t>Ravico</t>
        </is>
      </c>
      <c r="D53" t="inlineStr">
        <is>
          <t>MSKEIPT</t>
        </is>
      </c>
      <c r="E53" t="inlineStr">
        <is>
          <t>PT MSK ENGINEERING INDONESIA</t>
        </is>
      </c>
      <c r="F53" t="inlineStr">
        <is>
          <t>M</t>
        </is>
      </c>
      <c r="G53" t="inlineStr">
        <is>
          <t>7.26.00721</t>
        </is>
      </c>
      <c r="H53" t="inlineStr">
        <is>
          <t>Leads</t>
        </is>
      </c>
      <c r="I53" t="n">
        <v>0</v>
      </c>
      <c r="J53" t="n">
        <v>81</v>
      </c>
      <c r="K53" t="inlineStr">
        <is>
          <t>Reach Truck 1.5 Ton (1 Unit) _ 1 Tahun _ Canvassing awal &amp; Sales Call</t>
        </is>
      </c>
      <c r="L53">
        <f>IF(AND(H53="Leads", J53&lt;=0), "OVERDUE (IDLE)", IF(AND(H53="Leads", J53&lt;=14), "WARNING (3-14 Days)", IF(AND(H53="Prospect", J53&lt;=0), "PROSPECT EXPIRED", "SAFE / ON TRACK")))</f>
        <v/>
      </c>
    </row>
    <row r="54">
      <c r="A54" t="inlineStr">
        <is>
          <t>Fuji</t>
        </is>
      </c>
      <c r="B54" t="inlineStr"/>
      <c r="C54" t="inlineStr">
        <is>
          <t>Ravico</t>
        </is>
      </c>
      <c r="D54" t="inlineStr">
        <is>
          <t>PRDL</t>
        </is>
      </c>
      <c r="E54" t="inlineStr">
        <is>
          <t>PT PRODIA DIAGNOSTIC LINE TBK</t>
        </is>
      </c>
      <c r="F54" t="inlineStr">
        <is>
          <t>L</t>
        </is>
      </c>
      <c r="G54" t="inlineStr">
        <is>
          <t>7.26.00734</t>
        </is>
      </c>
      <c r="H54" t="inlineStr">
        <is>
          <t>Leads</t>
        </is>
      </c>
      <c r="I54" t="n">
        <v>0</v>
      </c>
      <c r="J54" t="n">
        <v>85</v>
      </c>
      <c r="K54" t="inlineStr">
        <is>
          <t>Reach Truck 1.5 Ton (1 Unit) _ 1 Tahun _ Canvassing awal &amp; Sales Call</t>
        </is>
      </c>
      <c r="L54">
        <f>IF(AND(H54="Leads", J54&lt;=0), "OVERDUE (IDLE)", IF(AND(H54="Leads", J54&lt;=14), "WARNING (3-14 Days)", IF(AND(H54="Prospect", J54&lt;=0), "PROSPECT EXPIRED", "SAFE / ON TRACK")))</f>
        <v/>
      </c>
    </row>
    <row r="55">
      <c r="A55" t="inlineStr">
        <is>
          <t>Fuji</t>
        </is>
      </c>
      <c r="B55" t="inlineStr"/>
      <c r="C55" t="inlineStr">
        <is>
          <t>Ravico</t>
        </is>
      </c>
      <c r="D55" t="inlineStr">
        <is>
          <t>TPMPT</t>
        </is>
      </c>
      <c r="E55" t="inlineStr">
        <is>
          <t>PT TRIMITRA PLASTIK MANDIRI TBK</t>
        </is>
      </c>
      <c r="F55" t="inlineStr">
        <is>
          <t>S</t>
        </is>
      </c>
      <c r="G55" t="inlineStr">
        <is>
          <t>7.26.00743</t>
        </is>
      </c>
      <c r="H55" t="inlineStr">
        <is>
          <t>Leads</t>
        </is>
      </c>
      <c r="I55" t="n">
        <v>0</v>
      </c>
      <c r="J55" t="n">
        <v>85</v>
      </c>
      <c r="K55" t="inlineStr">
        <is>
          <t>Reach Truck 1.5 Ton (1 Unit) _ 1 Tahun _ Canvassing awal &amp; Sales Call</t>
        </is>
      </c>
      <c r="L55">
        <f>IF(AND(H55="Leads", J55&lt;=0), "OVERDUE (IDLE)", IF(AND(H55="Leads", J55&lt;=14), "WARNING (3-14 Days)", IF(AND(H55="Prospect", J55&lt;=0), "PROSPECT EXPIRED", "SAFE / ON TRACK")))</f>
        <v/>
      </c>
    </row>
    <row r="56">
      <c r="A56" t="inlineStr">
        <is>
          <t>Fuji</t>
        </is>
      </c>
      <c r="B56" t="inlineStr"/>
      <c r="C56" t="inlineStr">
        <is>
          <t>Ravico</t>
        </is>
      </c>
      <c r="D56" t="inlineStr">
        <is>
          <t>HEROAA</t>
        </is>
      </c>
      <c r="E56" t="inlineStr">
        <is>
          <t>PT HERO INTIPUTRA</t>
        </is>
      </c>
      <c r="F56" t="inlineStr">
        <is>
          <t>M</t>
        </is>
      </c>
      <c r="G56" t="inlineStr">
        <is>
          <t>7.26.00750</t>
        </is>
      </c>
      <c r="H56" t="inlineStr">
        <is>
          <t>Leads</t>
        </is>
      </c>
      <c r="I56" t="n">
        <v>0</v>
      </c>
      <c r="J56" t="n">
        <v>177</v>
      </c>
      <c r="K56" t="inlineStr">
        <is>
          <t>Reach Truck 1.5 Ton (1 Unit) _ 1 Tahun _ Canvassing awal &amp; Sales Call</t>
        </is>
      </c>
      <c r="L56">
        <f>IF(AND(H56="Leads", J56&lt;=0), "OVERDUE (IDLE)", IF(AND(H56="Leads", J56&lt;=14), "WARNING (3-14 Days)", IF(AND(H56="Prospect", J56&lt;=0), "PROSPECT EXPIRED", "SAFE / ON TRACK")))</f>
        <v/>
      </c>
    </row>
    <row r="57">
      <c r="A57" t="inlineStr">
        <is>
          <t>Fuji</t>
        </is>
      </c>
      <c r="B57" t="inlineStr"/>
      <c r="C57" t="inlineStr">
        <is>
          <t>Ravico</t>
        </is>
      </c>
      <c r="D57" t="inlineStr">
        <is>
          <t>CCPT</t>
        </is>
      </c>
      <c r="E57" t="inlineStr">
        <is>
          <t>PT MANDIRI SEKURITAS TBK</t>
        </is>
      </c>
      <c r="F57" t="inlineStr">
        <is>
          <t>S</t>
        </is>
      </c>
      <c r="G57" t="inlineStr">
        <is>
          <t>7.26.00757</t>
        </is>
      </c>
      <c r="H57" t="inlineStr">
        <is>
          <t>Leads</t>
        </is>
      </c>
      <c r="I57" t="n">
        <v>0</v>
      </c>
      <c r="J57" t="n">
        <v>88</v>
      </c>
      <c r="K57" t="inlineStr">
        <is>
          <t>Reach Truck 1.5 Ton (1 Unit) _ 1 Tahun _ Canvassing awal &amp; Sales Call</t>
        </is>
      </c>
      <c r="L57">
        <f>IF(AND(H57="Leads", J57&lt;=0), "OVERDUE (IDLE)", IF(AND(H57="Leads", J57&lt;=14), "WARNING (3-14 Days)", IF(AND(H57="Prospect", J57&lt;=0), "PROSPECT EXPIRED", "SAFE / ON TRACK")))</f>
        <v/>
      </c>
    </row>
    <row r="58">
      <c r="A58" t="inlineStr">
        <is>
          <t>Fuji</t>
        </is>
      </c>
      <c r="B58" t="inlineStr"/>
      <c r="C58" t="inlineStr">
        <is>
          <t>Ravico</t>
        </is>
      </c>
      <c r="D58" t="inlineStr">
        <is>
          <t>GALDERMA</t>
        </is>
      </c>
      <c r="E58" t="inlineStr">
        <is>
          <t>PT GALDERMA INDONESIA HEALTHCARE</t>
        </is>
      </c>
      <c r="F58" t="inlineStr">
        <is>
          <t>M</t>
        </is>
      </c>
      <c r="G58" t="inlineStr">
        <is>
          <t>7.26.00762</t>
        </is>
      </c>
      <c r="H58" t="inlineStr">
        <is>
          <t>Leads</t>
        </is>
      </c>
      <c r="I58" t="n">
        <v>0</v>
      </c>
      <c r="J58" t="n">
        <v>88</v>
      </c>
      <c r="K58" t="inlineStr">
        <is>
          <t>Reach Truck 1.5 Ton (1 Unit) _ 1 Tahun _ Canvassing awal &amp; Sales Call</t>
        </is>
      </c>
      <c r="L58">
        <f>IF(AND(H58="Leads", J58&lt;=0), "OVERDUE (IDLE)", IF(AND(H58="Leads", J58&lt;=14), "WARNING (3-14 Days)", IF(AND(H58="Prospect", J58&lt;=0), "PROSPECT EXPIRED", "SAFE / ON TRACK")))</f>
        <v/>
      </c>
    </row>
    <row r="59">
      <c r="A59" t="inlineStr">
        <is>
          <t>Fuji</t>
        </is>
      </c>
      <c r="B59" t="inlineStr"/>
      <c r="C59" t="inlineStr">
        <is>
          <t>Ravico</t>
        </is>
      </c>
      <c r="D59" t="inlineStr">
        <is>
          <t>JOHNROBERT</t>
        </is>
      </c>
      <c r="E59" t="inlineStr">
        <is>
          <t>PT JOHN ROBERT POWERS</t>
        </is>
      </c>
      <c r="F59" t="inlineStr">
        <is>
          <t>M</t>
        </is>
      </c>
      <c r="G59" t="inlineStr">
        <is>
          <t>7.26.00771</t>
        </is>
      </c>
      <c r="H59" t="inlineStr">
        <is>
          <t>Leads</t>
        </is>
      </c>
      <c r="I59" t="n">
        <v>0</v>
      </c>
      <c r="J59" t="n">
        <v>91</v>
      </c>
      <c r="K59" t="inlineStr">
        <is>
          <t>Reach Truck 1.5 Ton (1 Unit) _ 1 Tahun _ Canvassing awal &amp; Sales Call</t>
        </is>
      </c>
      <c r="L59">
        <f>IF(AND(H59="Leads", J59&lt;=0), "OVERDUE (IDLE)", IF(AND(H59="Leads", J59&lt;=14), "WARNING (3-14 Days)", IF(AND(H59="Prospect", J59&lt;=0), "PROSPECT EXPIRED", "SAFE / ON TRACK")))</f>
        <v/>
      </c>
    </row>
    <row r="60">
      <c r="A60" t="inlineStr">
        <is>
          <t>Fuji</t>
        </is>
      </c>
      <c r="B60" t="inlineStr"/>
      <c r="C60" t="inlineStr">
        <is>
          <t>Ravico</t>
        </is>
      </c>
      <c r="D60" t="inlineStr">
        <is>
          <t>MJLLOGPT</t>
        </is>
      </c>
      <c r="E60" t="inlineStr">
        <is>
          <t>PT MJL LOGISTIC JAKARTA</t>
        </is>
      </c>
      <c r="F60" t="inlineStr">
        <is>
          <t>M</t>
        </is>
      </c>
      <c r="G60" t="inlineStr">
        <is>
          <t>7.26.00777</t>
        </is>
      </c>
      <c r="H60" t="inlineStr">
        <is>
          <t>Leads</t>
        </is>
      </c>
      <c r="I60" t="n">
        <v>0</v>
      </c>
      <c r="J60" t="n">
        <v>92</v>
      </c>
      <c r="K60" t="inlineStr">
        <is>
          <t>Reach Truck 1.5 Ton (1 Unit) _ 1 Tahun _ Canvassing awal &amp; Sales Call</t>
        </is>
      </c>
      <c r="L60">
        <f>IF(AND(H60="Leads", J60&lt;=0), "OVERDUE (IDLE)", IF(AND(H60="Leads", J60&lt;=14), "WARNING (3-14 Days)", IF(AND(H60="Prospect", J60&lt;=0), "PROSPECT EXPIRED", "SAFE / ON TRACK")))</f>
        <v/>
      </c>
    </row>
    <row r="61">
      <c r="A61" t="inlineStr">
        <is>
          <t>Fuji</t>
        </is>
      </c>
      <c r="B61" t="inlineStr"/>
      <c r="C61" t="inlineStr">
        <is>
          <t>Ravico</t>
        </is>
      </c>
      <c r="D61" t="inlineStr">
        <is>
          <t>VALVOLINE</t>
        </is>
      </c>
      <c r="E61" t="inlineStr">
        <is>
          <t>PT VALVOLINE INDONESIA</t>
        </is>
      </c>
      <c r="F61" t="inlineStr">
        <is>
          <t>M</t>
        </is>
      </c>
      <c r="G61" t="inlineStr">
        <is>
          <t>7.26.00781</t>
        </is>
      </c>
      <c r="H61" t="inlineStr">
        <is>
          <t>Leads</t>
        </is>
      </c>
      <c r="I61" t="n">
        <v>0</v>
      </c>
      <c r="J61" t="n">
        <v>92</v>
      </c>
      <c r="K61" t="inlineStr">
        <is>
          <t>Reach Truck 1.5 Ton (1 Unit) _ 1 Tahun _ Canvassing awal &amp; Sales Call</t>
        </is>
      </c>
      <c r="L61">
        <f>IF(AND(H61="Leads", J61&lt;=0), "OVERDUE (IDLE)", IF(AND(H61="Leads", J61&lt;=14), "WARNING (3-14 Days)", IF(AND(H61="Prospect", J61&lt;=0), "PROSPECT EXPIRED", "SAFE / ON TRACK")))</f>
        <v/>
      </c>
    </row>
    <row r="62">
      <c r="A62" t="inlineStr">
        <is>
          <t>Fuji</t>
        </is>
      </c>
      <c r="B62" t="inlineStr"/>
      <c r="C62" t="inlineStr">
        <is>
          <t>Ravico</t>
        </is>
      </c>
      <c r="D62" t="inlineStr">
        <is>
          <t>DAYAMAS</t>
        </is>
      </c>
      <c r="E62" t="inlineStr">
        <is>
          <t>PT DAYA MAS BUMI SENTOSA</t>
        </is>
      </c>
      <c r="F62" t="inlineStr">
        <is>
          <t>M</t>
        </is>
      </c>
      <c r="G62" t="inlineStr">
        <is>
          <t>7.26.00787</t>
        </is>
      </c>
      <c r="H62" t="inlineStr">
        <is>
          <t>Prospect</t>
        </is>
      </c>
      <c r="I62" t="n">
        <v>4</v>
      </c>
      <c r="J62" t="n">
        <v>184</v>
      </c>
      <c r="K62" t="inlineStr">
        <is>
          <t>Forklift 3 Ton (2 Unit) _ 2 Tahun _ SPH Dikirim ke User</t>
        </is>
      </c>
      <c r="L62">
        <f>IF(AND(H62="Leads", J62&lt;=0), "OVERDUE (IDLE)", IF(AND(H62="Leads", J62&lt;=14), "WARNING (3-14 Days)", IF(AND(H62="Prospect", J62&lt;=0), "PROSPECT EXPIRED", "SAFE / ON TRACK")))</f>
        <v/>
      </c>
    </row>
    <row r="63">
      <c r="A63" t="inlineStr">
        <is>
          <t>Fuji</t>
        </is>
      </c>
      <c r="B63" t="inlineStr"/>
      <c r="C63" t="inlineStr">
        <is>
          <t>Ravico</t>
        </is>
      </c>
      <c r="D63" t="inlineStr">
        <is>
          <t>CHUNETSU</t>
        </is>
      </c>
      <c r="E63" t="inlineStr">
        <is>
          <t>PT CHUNETSU INDONESIA</t>
        </is>
      </c>
      <c r="F63" t="inlineStr">
        <is>
          <t>M</t>
        </is>
      </c>
      <c r="G63" t="inlineStr">
        <is>
          <t>7.26.00790</t>
        </is>
      </c>
      <c r="H63" t="inlineStr">
        <is>
          <t>Leads</t>
        </is>
      </c>
      <c r="I63" t="n">
        <v>0</v>
      </c>
      <c r="J63" t="n">
        <v>98</v>
      </c>
      <c r="K63" t="inlineStr">
        <is>
          <t>Reach Truck 1.5 Ton (1 Unit) _ 1 Tahun _ Canvassing awal &amp; Sales Call</t>
        </is>
      </c>
      <c r="L63">
        <f>IF(AND(H63="Leads", J63&lt;=0), "OVERDUE (IDLE)", IF(AND(H63="Leads", J63&lt;=14), "WARNING (3-14 Days)", IF(AND(H63="Prospect", J63&lt;=0), "PROSPECT EXPIRED", "SAFE / ON TRACK")))</f>
        <v/>
      </c>
    </row>
    <row r="64">
      <c r="A64" t="inlineStr">
        <is>
          <t>Fuji</t>
        </is>
      </c>
      <c r="B64" t="inlineStr"/>
      <c r="C64" t="inlineStr">
        <is>
          <t>Ravico</t>
        </is>
      </c>
      <c r="D64" t="inlineStr">
        <is>
          <t>BMIPT</t>
        </is>
      </c>
      <c r="E64" t="inlineStr">
        <is>
          <t>PT BUMI MENARA INTERNUSA</t>
        </is>
      </c>
      <c r="F64" t="inlineStr">
        <is>
          <t>L</t>
        </is>
      </c>
      <c r="G64" t="inlineStr">
        <is>
          <t>7.26.00795</t>
        </is>
      </c>
      <c r="H64" t="inlineStr">
        <is>
          <t>Prospect</t>
        </is>
      </c>
      <c r="I64" t="n">
        <v>23</v>
      </c>
      <c r="J64" t="n">
        <v>203</v>
      </c>
      <c r="K64" t="inlineStr">
        <is>
          <t>Forklift 3 Ton (2 Unit) _ 2 Tahun _ SPH Dikirim ke User</t>
        </is>
      </c>
      <c r="L64">
        <f>IF(AND(H64="Leads", J64&lt;=0), "OVERDUE (IDLE)", IF(AND(H64="Leads", J64&lt;=14), "WARNING (3-14 Days)", IF(AND(H64="Prospect", J64&lt;=0), "PROSPECT EXPIRED", "SAFE / ON TRACK")))</f>
        <v/>
      </c>
    </row>
    <row r="65">
      <c r="A65" t="inlineStr">
        <is>
          <t>Fuji</t>
        </is>
      </c>
      <c r="B65" t="inlineStr"/>
      <c r="C65" t="inlineStr">
        <is>
          <t>Ravico</t>
        </is>
      </c>
      <c r="D65" t="inlineStr">
        <is>
          <t>SHINHEUNG</t>
        </is>
      </c>
      <c r="E65" t="inlineStr">
        <is>
          <t>PT SHINHEUNG INDONESIA</t>
        </is>
      </c>
      <c r="F65" t="inlineStr">
        <is>
          <t>M</t>
        </is>
      </c>
      <c r="G65" t="inlineStr">
        <is>
          <t>7.26.00800</t>
        </is>
      </c>
      <c r="H65" t="inlineStr">
        <is>
          <t>Leads</t>
        </is>
      </c>
      <c r="I65" t="n">
        <v>0</v>
      </c>
      <c r="J65" t="n">
        <v>102</v>
      </c>
      <c r="K65" t="inlineStr">
        <is>
          <t>Reach Truck 1.5 Ton (1 Unit) _ 1 Tahun _ Canvassing awal &amp; Sales Call</t>
        </is>
      </c>
      <c r="L65">
        <f>IF(AND(H65="Leads", J65&lt;=0), "OVERDUE (IDLE)", IF(AND(H65="Leads", J65&lt;=14), "WARNING (3-14 Days)", IF(AND(H65="Prospect", J65&lt;=0), "PROSPECT EXPIRED", "SAFE / ON TRACK")))</f>
        <v/>
      </c>
    </row>
    <row r="66">
      <c r="A66" t="inlineStr">
        <is>
          <t>Fuji</t>
        </is>
      </c>
      <c r="B66" t="inlineStr"/>
      <c r="C66" t="inlineStr">
        <is>
          <t>Ravico</t>
        </is>
      </c>
      <c r="D66" t="inlineStr">
        <is>
          <t>HABDONG</t>
        </is>
      </c>
      <c r="E66" t="inlineStr">
        <is>
          <t>PT HAB DONG INDONESIA TBK</t>
        </is>
      </c>
      <c r="F66" t="inlineStr">
        <is>
          <t>S</t>
        </is>
      </c>
      <c r="G66" t="inlineStr">
        <is>
          <t>7.26.00802</t>
        </is>
      </c>
      <c r="H66" t="inlineStr">
        <is>
          <t>Leads</t>
        </is>
      </c>
      <c r="I66" t="n">
        <v>0</v>
      </c>
      <c r="J66" t="n">
        <v>102</v>
      </c>
      <c r="K66" t="inlineStr">
        <is>
          <t>Reach Truck 1.5 Ton (1 Unit) _ 1 Tahun _ Canvassing awal &amp; Sales Call</t>
        </is>
      </c>
      <c r="L66">
        <f>IF(AND(H66="Leads", J66&lt;=0), "OVERDUE (IDLE)", IF(AND(H66="Leads", J66&lt;=14), "WARNING (3-14 Days)", IF(AND(H66="Prospect", J66&lt;=0), "PROSPECT EXPIRED", "SAFE / ON TRACK")))</f>
        <v/>
      </c>
    </row>
    <row r="67">
      <c r="A67" t="inlineStr">
        <is>
          <t>Fuji</t>
        </is>
      </c>
      <c r="B67" t="inlineStr"/>
      <c r="C67" t="inlineStr">
        <is>
          <t>Ravico</t>
        </is>
      </c>
      <c r="D67" t="inlineStr">
        <is>
          <t>OEIPT</t>
        </is>
      </c>
      <c r="E67" t="inlineStr">
        <is>
          <t>PT ORIENTAL ELECTRONICS INDONESIA</t>
        </is>
      </c>
      <c r="F67" t="inlineStr">
        <is>
          <t>M</t>
        </is>
      </c>
      <c r="G67" t="inlineStr">
        <is>
          <t>7.26.00803</t>
        </is>
      </c>
      <c r="H67" t="inlineStr">
        <is>
          <t>Leads</t>
        </is>
      </c>
      <c r="I67" t="n">
        <v>0</v>
      </c>
      <c r="J67" t="n">
        <v>102</v>
      </c>
      <c r="K67" t="inlineStr">
        <is>
          <t>Reach Truck 1.5 Ton (1 Unit) _ 1 Tahun _ Canvassing awal &amp; Sales Call</t>
        </is>
      </c>
      <c r="L67">
        <f>IF(AND(H67="Leads", J67&lt;=0), "OVERDUE (IDLE)", IF(AND(H67="Leads", J67&lt;=14), "WARNING (3-14 Days)", IF(AND(H67="Prospect", J67&lt;=0), "PROSPECT EXPIRED", "SAFE / ON TRACK")))</f>
        <v/>
      </c>
    </row>
    <row r="68">
      <c r="A68" t="inlineStr">
        <is>
          <t>Fuji</t>
        </is>
      </c>
      <c r="B68" t="inlineStr"/>
      <c r="C68" t="inlineStr">
        <is>
          <t>Ravico</t>
        </is>
      </c>
      <c r="D68" t="inlineStr">
        <is>
          <t>LGR&amp;D</t>
        </is>
      </c>
      <c r="E68" t="inlineStr">
        <is>
          <t>PT LG R&amp;D CENTER INDONESIA TBK</t>
        </is>
      </c>
      <c r="F68" t="inlineStr">
        <is>
          <t>S</t>
        </is>
      </c>
      <c r="G68" t="inlineStr">
        <is>
          <t>7.26.00807</t>
        </is>
      </c>
      <c r="H68" t="inlineStr">
        <is>
          <t>Leads</t>
        </is>
      </c>
      <c r="I68" t="n">
        <v>0</v>
      </c>
      <c r="J68" t="n">
        <v>102</v>
      </c>
      <c r="K68" t="inlineStr">
        <is>
          <t>Reach Truck 1.5 Ton (1 Unit) _ 1 Tahun _ Canvassing awal &amp; Sales Call</t>
        </is>
      </c>
      <c r="L68">
        <f>IF(AND(H68="Leads", J68&lt;=0), "OVERDUE (IDLE)", IF(AND(H68="Leads", J68&lt;=14), "WARNING (3-14 Days)", IF(AND(H68="Prospect", J68&lt;=0), "PROSPECT EXPIRED", "SAFE / ON TRACK")))</f>
        <v/>
      </c>
    </row>
    <row r="69">
      <c r="A69" t="inlineStr">
        <is>
          <t>Fuji</t>
        </is>
      </c>
      <c r="B69" t="inlineStr"/>
      <c r="C69" t="inlineStr">
        <is>
          <t>Ravico</t>
        </is>
      </c>
      <c r="D69" t="inlineStr">
        <is>
          <t>INDORAMAPT</t>
        </is>
      </c>
      <c r="E69" t="inlineStr">
        <is>
          <t>PT INDORAMA VENTURES INDONESIA</t>
        </is>
      </c>
      <c r="F69" t="inlineStr">
        <is>
          <t>L</t>
        </is>
      </c>
      <c r="G69" t="inlineStr">
        <is>
          <t>7.26.00808</t>
        </is>
      </c>
      <c r="H69" t="inlineStr">
        <is>
          <t>Leads</t>
        </is>
      </c>
      <c r="I69" t="n">
        <v>0</v>
      </c>
      <c r="J69" t="n">
        <v>102</v>
      </c>
      <c r="K69" t="inlineStr">
        <is>
          <t>Reach Truck 1.5 Ton (1 Unit) _ 1 Tahun _ Canvassing awal &amp; Sales Call</t>
        </is>
      </c>
      <c r="L69">
        <f>IF(AND(H69="Leads", J69&lt;=0), "OVERDUE (IDLE)", IF(AND(H69="Leads", J69&lt;=14), "WARNING (3-14 Days)", IF(AND(H69="Prospect", J69&lt;=0), "PROSPECT EXPIRED", "SAFE / ON TRACK")))</f>
        <v/>
      </c>
    </row>
    <row r="70">
      <c r="A70" t="inlineStr">
        <is>
          <t>Fuji</t>
        </is>
      </c>
      <c r="B70" t="inlineStr"/>
      <c r="C70" t="inlineStr">
        <is>
          <t>Ravico</t>
        </is>
      </c>
      <c r="D70" t="inlineStr">
        <is>
          <t>SEONGJIN</t>
        </is>
      </c>
      <c r="E70" t="inlineStr">
        <is>
          <t>PT SEONGJIN ENGINEERING INDONESIA</t>
        </is>
      </c>
      <c r="F70" t="inlineStr">
        <is>
          <t>M</t>
        </is>
      </c>
      <c r="G70" t="inlineStr">
        <is>
          <t>7.26.00810</t>
        </is>
      </c>
      <c r="H70" t="inlineStr">
        <is>
          <t>Leads</t>
        </is>
      </c>
      <c r="I70" t="n">
        <v>0</v>
      </c>
      <c r="J70" t="n">
        <v>102</v>
      </c>
      <c r="K70" t="inlineStr">
        <is>
          <t>Reach Truck 1.5 Ton (1 Unit) _ 1 Tahun _ Canvassing awal &amp; Sales Call</t>
        </is>
      </c>
      <c r="L70">
        <f>IF(AND(H70="Leads", J70&lt;=0), "OVERDUE (IDLE)", IF(AND(H70="Leads", J70&lt;=14), "WARNING (3-14 Days)", IF(AND(H70="Prospect", J70&lt;=0), "PROSPECT EXPIRED", "SAFE / ON TRACK")))</f>
        <v/>
      </c>
    </row>
    <row r="71">
      <c r="A71" t="inlineStr">
        <is>
          <t>Fuji</t>
        </is>
      </c>
      <c r="B71" t="inlineStr"/>
      <c r="C71" t="inlineStr">
        <is>
          <t>Ravico</t>
        </is>
      </c>
      <c r="D71" t="inlineStr">
        <is>
          <t>MIMAKI</t>
        </is>
      </c>
      <c r="E71" t="inlineStr">
        <is>
          <t>PT MIMAKI INDONESIA</t>
        </is>
      </c>
      <c r="F71" t="inlineStr">
        <is>
          <t>M</t>
        </is>
      </c>
      <c r="G71" t="inlineStr">
        <is>
          <t>7.26.00824</t>
        </is>
      </c>
      <c r="H71" t="inlineStr">
        <is>
          <t>Leads</t>
        </is>
      </c>
      <c r="I71" t="n">
        <v>0</v>
      </c>
      <c r="J71" t="n">
        <v>107</v>
      </c>
      <c r="K71" t="inlineStr">
        <is>
          <t>Reach Truck 1.5 Ton (1 Unit) _ 1 Tahun _ Canvassing awal &amp; Sales Call</t>
        </is>
      </c>
      <c r="L71">
        <f>IF(AND(H71="Leads", J71&lt;=0), "OVERDUE (IDLE)", IF(AND(H71="Leads", J71&lt;=14), "WARNING (3-14 Days)", IF(AND(H71="Prospect", J71&lt;=0), "PROSPECT EXPIRED", "SAFE / ON TRACK")))</f>
        <v/>
      </c>
    </row>
    <row r="72">
      <c r="A72" t="inlineStr">
        <is>
          <t>Fuji</t>
        </is>
      </c>
      <c r="B72" t="inlineStr"/>
      <c r="C72" t="inlineStr">
        <is>
          <t>Ravico</t>
        </is>
      </c>
      <c r="D72" t="inlineStr">
        <is>
          <t>WHAIN</t>
        </is>
      </c>
      <c r="E72" t="inlineStr">
        <is>
          <t>PT WHAIN</t>
        </is>
      </c>
      <c r="F72" t="inlineStr">
        <is>
          <t>M</t>
        </is>
      </c>
      <c r="G72" t="inlineStr">
        <is>
          <t>7.26.00827</t>
        </is>
      </c>
      <c r="H72" t="inlineStr">
        <is>
          <t>Leads</t>
        </is>
      </c>
      <c r="I72" t="n">
        <v>0</v>
      </c>
      <c r="J72" t="n">
        <v>107</v>
      </c>
      <c r="K72" t="inlineStr">
        <is>
          <t>Reach Truck 1.5 Ton (1 Unit) _ 1 Tahun _ Canvassing awal &amp; Sales Call</t>
        </is>
      </c>
      <c r="L72">
        <f>IF(AND(H72="Leads", J72&lt;=0), "OVERDUE (IDLE)", IF(AND(H72="Leads", J72&lt;=14), "WARNING (3-14 Days)", IF(AND(H72="Prospect", J72&lt;=0), "PROSPECT EXPIRED", "SAFE / ON TRACK")))</f>
        <v/>
      </c>
    </row>
    <row r="73">
      <c r="A73" t="inlineStr">
        <is>
          <t>Fuji</t>
        </is>
      </c>
      <c r="B73" t="inlineStr"/>
      <c r="C73" t="inlineStr">
        <is>
          <t>Ravico</t>
        </is>
      </c>
      <c r="D73" t="inlineStr">
        <is>
          <t>PILARSAPTA</t>
        </is>
      </c>
      <c r="E73" t="inlineStr">
        <is>
          <t>PT PILAR SAPTA MANDIRI</t>
        </is>
      </c>
      <c r="F73" t="inlineStr">
        <is>
          <t>M</t>
        </is>
      </c>
      <c r="G73" t="inlineStr">
        <is>
          <t>7.26.00851</t>
        </is>
      </c>
      <c r="H73" t="inlineStr">
        <is>
          <t>Leads</t>
        </is>
      </c>
      <c r="I73" t="n">
        <v>0</v>
      </c>
      <c r="J73" t="n">
        <v>112</v>
      </c>
      <c r="K73" t="inlineStr">
        <is>
          <t>Reach Truck 1.5 Ton (1 Unit) _ 1 Tahun _ Canvassing awal &amp; Sales Call</t>
        </is>
      </c>
      <c r="L73">
        <f>IF(AND(H73="Leads", J73&lt;=0), "OVERDUE (IDLE)", IF(AND(H73="Leads", J73&lt;=14), "WARNING (3-14 Days)", IF(AND(H73="Prospect", J73&lt;=0), "PROSPECT EXPIRED", "SAFE / ON TRACK")))</f>
        <v/>
      </c>
    </row>
    <row r="74">
      <c r="A74" t="inlineStr">
        <is>
          <t>Fuji</t>
        </is>
      </c>
      <c r="B74" t="inlineStr"/>
      <c r="C74" t="inlineStr">
        <is>
          <t>Ravico</t>
        </is>
      </c>
      <c r="D74" t="inlineStr">
        <is>
          <t>YPTTSOL</t>
        </is>
      </c>
      <c r="E74" t="inlineStr">
        <is>
          <t>PT YPTT SOLUTIONS INDONESIA</t>
        </is>
      </c>
      <c r="F74" t="inlineStr">
        <is>
          <t>S</t>
        </is>
      </c>
      <c r="G74" t="inlineStr">
        <is>
          <t>7.26.00890</t>
        </is>
      </c>
      <c r="H74" t="inlineStr">
        <is>
          <t>Leads</t>
        </is>
      </c>
      <c r="I74" t="n">
        <v>0</v>
      </c>
      <c r="J74" t="n">
        <v>114</v>
      </c>
      <c r="K74" t="inlineStr">
        <is>
          <t>Reach Truck 1.5 Ton (1 Unit) _ 1 Tahun _ Canvassing awal &amp; Sales Call</t>
        </is>
      </c>
      <c r="L74">
        <f>IF(AND(H74="Leads", J74&lt;=0), "OVERDUE (IDLE)", IF(AND(H74="Leads", J74&lt;=14), "WARNING (3-14 Days)", IF(AND(H74="Prospect", J74&lt;=0), "PROSPECT EXPIRED", "SAFE / ON TRACK")))</f>
        <v/>
      </c>
    </row>
    <row r="75">
      <c r="A75" t="inlineStr">
        <is>
          <t>Fuji</t>
        </is>
      </c>
      <c r="B75" t="inlineStr"/>
      <c r="C75" t="inlineStr">
        <is>
          <t>Ravico</t>
        </is>
      </c>
      <c r="D75" t="inlineStr">
        <is>
          <t>YONYOU</t>
        </is>
      </c>
      <c r="E75" t="inlineStr">
        <is>
          <t>YONYOU NETWORK INDONESIA</t>
        </is>
      </c>
      <c r="F75" t="inlineStr">
        <is>
          <t>L</t>
        </is>
      </c>
      <c r="G75" t="inlineStr">
        <is>
          <t>7.26.00894</t>
        </is>
      </c>
      <c r="H75" t="inlineStr">
        <is>
          <t>Leads</t>
        </is>
      </c>
      <c r="I75" t="n">
        <v>0</v>
      </c>
      <c r="J75" t="n">
        <v>114</v>
      </c>
      <c r="K75" t="inlineStr">
        <is>
          <t>Reach Truck 1.5 Ton (1 Unit) _ 1 Tahun _ Canvassing awal &amp; Sales Call</t>
        </is>
      </c>
      <c r="L75">
        <f>IF(AND(H75="Leads", J75&lt;=0), "OVERDUE (IDLE)", IF(AND(H75="Leads", J75&lt;=14), "WARNING (3-14 Days)", IF(AND(H75="Prospect", J75&lt;=0), "PROSPECT EXPIRED", "SAFE / ON TRACK")))</f>
        <v/>
      </c>
    </row>
    <row r="76">
      <c r="A76" t="inlineStr">
        <is>
          <t>Fuji</t>
        </is>
      </c>
      <c r="B76" t="inlineStr"/>
      <c r="C76" t="inlineStr">
        <is>
          <t>Ravico</t>
        </is>
      </c>
      <c r="D76" t="inlineStr">
        <is>
          <t>YOH</t>
        </is>
      </c>
      <c r="E76" t="inlineStr">
        <is>
          <t>PT YOHZU INDONESIA</t>
        </is>
      </c>
      <c r="F76" t="inlineStr">
        <is>
          <t>S</t>
        </is>
      </c>
      <c r="G76" t="inlineStr">
        <is>
          <t>7.26.00896</t>
        </is>
      </c>
      <c r="H76" t="inlineStr">
        <is>
          <t>Leads</t>
        </is>
      </c>
      <c r="I76" t="n">
        <v>0</v>
      </c>
      <c r="J76" t="n">
        <v>114</v>
      </c>
      <c r="K76" t="inlineStr">
        <is>
          <t>Reach Truck 1.5 Ton (1 Unit) _ 1 Tahun _ Canvassing awal &amp; Sales Call</t>
        </is>
      </c>
      <c r="L76">
        <f>IF(AND(H76="Leads", J76&lt;=0), "OVERDUE (IDLE)", IF(AND(H76="Leads", J76&lt;=14), "WARNING (3-14 Days)", IF(AND(H76="Prospect", J76&lt;=0), "PROSPECT EXPIRED", "SAFE / ON TRACK")))</f>
        <v/>
      </c>
    </row>
    <row r="77">
      <c r="A77" t="inlineStr">
        <is>
          <t>Fuji</t>
        </is>
      </c>
      <c r="B77" t="inlineStr"/>
      <c r="C77" t="inlineStr">
        <is>
          <t>Ravico</t>
        </is>
      </c>
      <c r="D77" t="inlineStr">
        <is>
          <t>YASUNAGA</t>
        </is>
      </c>
      <c r="E77" t="inlineStr">
        <is>
          <t>YASUNAGA INDONESIA</t>
        </is>
      </c>
      <c r="F77" t="inlineStr">
        <is>
          <t>L</t>
        </is>
      </c>
      <c r="G77" t="inlineStr">
        <is>
          <t>7.26.00903</t>
        </is>
      </c>
      <c r="H77" t="inlineStr">
        <is>
          <t>Leads</t>
        </is>
      </c>
      <c r="I77" t="n">
        <v>0</v>
      </c>
      <c r="J77" t="n">
        <v>114</v>
      </c>
      <c r="K77" t="inlineStr">
        <is>
          <t>Reach Truck 1.5 Ton (1 Unit) _ 1 Tahun _ Canvassing awal &amp; Sales Call</t>
        </is>
      </c>
      <c r="L77">
        <f>IF(AND(H77="Leads", J77&lt;=0), "OVERDUE (IDLE)", IF(AND(H77="Leads", J77&lt;=14), "WARNING (3-14 Days)", IF(AND(H77="Prospect", J77&lt;=0), "PROSPECT EXPIRED", "SAFE / ON TRACK")))</f>
        <v/>
      </c>
    </row>
    <row r="78">
      <c r="A78" t="inlineStr">
        <is>
          <t>Fuji</t>
        </is>
      </c>
      <c r="B78" t="inlineStr"/>
      <c r="C78" t="inlineStr">
        <is>
          <t>Ravico</t>
        </is>
      </c>
      <c r="D78" t="inlineStr">
        <is>
          <t>YAP</t>
        </is>
      </c>
      <c r="E78" t="inlineStr">
        <is>
          <t>YKK AP INDONESIA</t>
        </is>
      </c>
      <c r="F78" t="inlineStr"/>
      <c r="G78" t="inlineStr">
        <is>
          <t>7.26.00905</t>
        </is>
      </c>
      <c r="H78" t="inlineStr">
        <is>
          <t>Leads</t>
        </is>
      </c>
      <c r="I78" t="n">
        <v>0</v>
      </c>
      <c r="J78" t="n">
        <v>114</v>
      </c>
      <c r="K78" t="inlineStr">
        <is>
          <t>Reach Truck 1.5 Ton (1 Unit) _ 1 Tahun _ Canvassing awal &amp; Sales Call</t>
        </is>
      </c>
      <c r="L78">
        <f>IF(AND(H78="Leads", J78&lt;=0), "OVERDUE (IDLE)", IF(AND(H78="Leads", J78&lt;=14), "WARNING (3-14 Days)", IF(AND(H78="Prospect", J78&lt;=0), "PROSPECT EXPIRED", "SAFE / ON TRACK")))</f>
        <v/>
      </c>
    </row>
    <row r="79">
      <c r="A79" t="inlineStr">
        <is>
          <t>Fuji</t>
        </is>
      </c>
      <c r="B79" t="inlineStr"/>
      <c r="C79" t="inlineStr">
        <is>
          <t>Ravico</t>
        </is>
      </c>
      <c r="D79" t="inlineStr">
        <is>
          <t>YAHATA</t>
        </is>
      </c>
      <c r="E79" t="inlineStr">
        <is>
          <t>YAHATA FASTENER INDONESIA</t>
        </is>
      </c>
      <c r="F79" t="inlineStr"/>
      <c r="G79" t="inlineStr">
        <is>
          <t>7.26.00906</t>
        </is>
      </c>
      <c r="H79" t="inlineStr">
        <is>
          <t>Leads</t>
        </is>
      </c>
      <c r="I79" t="n">
        <v>0</v>
      </c>
      <c r="J79" t="n">
        <v>114</v>
      </c>
      <c r="K79" t="inlineStr">
        <is>
          <t>Reach Truck 1.5 Ton (1 Unit) _ 1 Tahun _ Canvassing awal &amp; Sales Call</t>
        </is>
      </c>
      <c r="L79">
        <f>IF(AND(H79="Leads", J79&lt;=0), "OVERDUE (IDLE)", IF(AND(H79="Leads", J79&lt;=14), "WARNING (3-14 Days)", IF(AND(H79="Prospect", J79&lt;=0), "PROSPECT EXPIRED", "SAFE / ON TRACK")))</f>
        <v/>
      </c>
    </row>
    <row r="80">
      <c r="A80" t="inlineStr">
        <is>
          <t>Fuji</t>
        </is>
      </c>
      <c r="B80" t="inlineStr"/>
      <c r="C80" t="inlineStr">
        <is>
          <t>Ravico</t>
        </is>
      </c>
      <c r="D80" t="inlineStr">
        <is>
          <t>WKK</t>
        </is>
      </c>
      <c r="E80" t="inlineStr">
        <is>
          <t>PT WAHANA KRIDA KONSULINDO</t>
        </is>
      </c>
      <c r="F80" t="inlineStr">
        <is>
          <t>S</t>
        </is>
      </c>
      <c r="G80" t="inlineStr">
        <is>
          <t>7.26.00911</t>
        </is>
      </c>
      <c r="H80" t="inlineStr">
        <is>
          <t>Leads</t>
        </is>
      </c>
      <c r="I80" t="n">
        <v>0</v>
      </c>
      <c r="J80" t="n">
        <v>114</v>
      </c>
      <c r="K80" t="inlineStr">
        <is>
          <t>Reach Truck 1.5 Ton (1 Unit) _ 1 Tahun _ Canvassing awal &amp; Sales Call</t>
        </is>
      </c>
      <c r="L80">
        <f>IF(AND(H80="Leads", J80&lt;=0), "OVERDUE (IDLE)", IF(AND(H80="Leads", J80&lt;=14), "WARNING (3-14 Days)", IF(AND(H80="Prospect", J80&lt;=0), "PROSPECT EXPIRED", "SAFE / ON TRACK")))</f>
        <v/>
      </c>
    </row>
    <row r="81">
      <c r="A81" t="inlineStr">
        <is>
          <t>Fuji</t>
        </is>
      </c>
      <c r="B81" t="inlineStr"/>
      <c r="C81" t="inlineStr">
        <is>
          <t>Ravico</t>
        </is>
      </c>
      <c r="D81" t="inlineStr">
        <is>
          <t>UCIND</t>
        </is>
      </c>
      <c r="E81" t="inlineStr">
        <is>
          <t>UNICHEM CANDI INDONESIA</t>
        </is>
      </c>
      <c r="F81" t="inlineStr">
        <is>
          <t>S</t>
        </is>
      </c>
      <c r="G81" t="inlineStr">
        <is>
          <t>7.26.00931</t>
        </is>
      </c>
      <c r="H81" t="inlineStr">
        <is>
          <t>Leads</t>
        </is>
      </c>
      <c r="I81" t="n">
        <v>0</v>
      </c>
      <c r="J81" t="n">
        <v>114</v>
      </c>
      <c r="K81" t="inlineStr">
        <is>
          <t>Reach Truck 1.5 Ton (1 Unit) _ 1 Tahun _ Canvassing awal &amp; Sales Call</t>
        </is>
      </c>
      <c r="L81">
        <f>IF(AND(H81="Leads", J81&lt;=0), "OVERDUE (IDLE)", IF(AND(H81="Leads", J81&lt;=14), "WARNING (3-14 Days)", IF(AND(H81="Prospect", J81&lt;=0), "PROSPECT EXPIRED", "SAFE / ON TRACK")))</f>
        <v/>
      </c>
    </row>
    <row r="82">
      <c r="A82" t="inlineStr">
        <is>
          <t>Fuji</t>
        </is>
      </c>
      <c r="B82" t="inlineStr"/>
      <c r="C82" t="inlineStr">
        <is>
          <t>Ravico</t>
        </is>
      </c>
      <c r="D82" t="inlineStr">
        <is>
          <t>TTME</t>
        </is>
      </c>
      <c r="E82" t="inlineStr">
        <is>
          <t>TOYOTA TSUSHO MECHANICAL DAN ENGINEERING SERVICE INDONESIA</t>
        </is>
      </c>
      <c r="F82" t="inlineStr"/>
      <c r="G82" t="inlineStr">
        <is>
          <t>7.26.00939</t>
        </is>
      </c>
      <c r="H82" t="inlineStr">
        <is>
          <t>Leads</t>
        </is>
      </c>
      <c r="I82" t="n">
        <v>0</v>
      </c>
      <c r="J82" t="n">
        <v>114</v>
      </c>
      <c r="K82" t="inlineStr">
        <is>
          <t>Reach Truck 1.5 Ton (1 Unit) _ 1 Tahun _ Canvassing awal &amp; Sales Call</t>
        </is>
      </c>
      <c r="L82">
        <f>IF(AND(H82="Leads", J82&lt;=0), "OVERDUE (IDLE)", IF(AND(H82="Leads", J82&lt;=14), "WARNING (3-14 Days)", IF(AND(H82="Prospect", J82&lt;=0), "PROSPECT EXPIRED", "SAFE / ON TRACK")))</f>
        <v/>
      </c>
    </row>
    <row r="83">
      <c r="A83" t="inlineStr">
        <is>
          <t>Fuji</t>
        </is>
      </c>
      <c r="B83" t="inlineStr"/>
      <c r="C83" t="inlineStr">
        <is>
          <t>Ravico</t>
        </is>
      </c>
      <c r="D83" t="inlineStr">
        <is>
          <t>TSU</t>
        </is>
      </c>
      <c r="E83" t="inlineStr">
        <is>
          <t>PT TSUZUKI INDONESIA</t>
        </is>
      </c>
      <c r="F83" t="inlineStr">
        <is>
          <t>L</t>
        </is>
      </c>
      <c r="G83" t="inlineStr">
        <is>
          <t>7.26.00940</t>
        </is>
      </c>
      <c r="H83" t="inlineStr">
        <is>
          <t>Leads</t>
        </is>
      </c>
      <c r="I83" t="n">
        <v>0</v>
      </c>
      <c r="J83" t="n">
        <v>114</v>
      </c>
      <c r="K83" t="inlineStr">
        <is>
          <t>Reach Truck 1.5 Ton (1 Unit) _ 1 Tahun _ Canvassing awal &amp; Sales Call</t>
        </is>
      </c>
      <c r="L83">
        <f>IF(AND(H83="Leads", J83&lt;=0), "OVERDUE (IDLE)", IF(AND(H83="Leads", J83&lt;=14), "WARNING (3-14 Days)", IF(AND(H83="Prospect", J83&lt;=0), "PROSPECT EXPIRED", "SAFE / ON TRACK")))</f>
        <v/>
      </c>
    </row>
    <row r="84">
      <c r="A84" t="inlineStr">
        <is>
          <t>Fuji</t>
        </is>
      </c>
      <c r="B84" t="inlineStr"/>
      <c r="C84" t="inlineStr">
        <is>
          <t>Ravico</t>
        </is>
      </c>
      <c r="D84" t="inlineStr">
        <is>
          <t>TSMF</t>
        </is>
      </c>
      <c r="E84" t="inlineStr">
        <is>
          <t>TSUCHIYA MANUFACTURING INDONESIA</t>
        </is>
      </c>
      <c r="F84" t="inlineStr"/>
      <c r="G84" t="inlineStr">
        <is>
          <t>7.26.00942</t>
        </is>
      </c>
      <c r="H84" t="inlineStr">
        <is>
          <t>Leads</t>
        </is>
      </c>
      <c r="I84" t="n">
        <v>0</v>
      </c>
      <c r="J84" t="n">
        <v>114</v>
      </c>
      <c r="K84" t="inlineStr">
        <is>
          <t>Reach Truck 1.5 Ton (1 Unit) _ 1 Tahun _ Canvassing awal &amp; Sales Call</t>
        </is>
      </c>
      <c r="L84">
        <f>IF(AND(H84="Leads", J84&lt;=0), "OVERDUE (IDLE)", IF(AND(H84="Leads", J84&lt;=14), "WARNING (3-14 Days)", IF(AND(H84="Prospect", J84&lt;=0), "PROSPECT EXPIRED", "SAFE / ON TRACK")))</f>
        <v/>
      </c>
    </row>
    <row r="85">
      <c r="A85" t="inlineStr">
        <is>
          <t>Fuji</t>
        </is>
      </c>
      <c r="B85" t="inlineStr"/>
      <c r="C85" t="inlineStr">
        <is>
          <t>Ravico</t>
        </is>
      </c>
      <c r="D85" t="inlineStr">
        <is>
          <t>TOYOTOMO</t>
        </is>
      </c>
      <c r="E85" t="inlineStr">
        <is>
          <t>TOYOTOMO INDONESIA</t>
        </is>
      </c>
      <c r="F85" t="inlineStr"/>
      <c r="G85" t="inlineStr">
        <is>
          <t>7.26.00950</t>
        </is>
      </c>
      <c r="H85" t="inlineStr">
        <is>
          <t>Leads</t>
        </is>
      </c>
      <c r="I85" t="n">
        <v>0</v>
      </c>
      <c r="J85" t="n">
        <v>114</v>
      </c>
      <c r="K85" t="inlineStr">
        <is>
          <t>Reach Truck 1.5 Ton (1 Unit) _ 1 Tahun _ Canvassing awal &amp; Sales Call</t>
        </is>
      </c>
      <c r="L85">
        <f>IF(AND(H85="Leads", J85&lt;=0), "OVERDUE (IDLE)", IF(AND(H85="Leads", J85&lt;=14), "WARNING (3-14 Days)", IF(AND(H85="Prospect", J85&lt;=0), "PROSPECT EXPIRED", "SAFE / ON TRACK")))</f>
        <v/>
      </c>
    </row>
    <row r="86">
      <c r="A86" t="inlineStr">
        <is>
          <t>Fuji</t>
        </is>
      </c>
      <c r="B86" t="inlineStr"/>
      <c r="C86" t="inlineStr">
        <is>
          <t>Ravico</t>
        </is>
      </c>
      <c r="D86" t="inlineStr">
        <is>
          <t>TOYOSEAL</t>
        </is>
      </c>
      <c r="E86" t="inlineStr">
        <is>
          <t>TOYO SEAL INDONESIA</t>
        </is>
      </c>
      <c r="F86" t="inlineStr"/>
      <c r="G86" t="inlineStr">
        <is>
          <t>7.26.00951</t>
        </is>
      </c>
      <c r="H86" t="inlineStr">
        <is>
          <t>Leads</t>
        </is>
      </c>
      <c r="I86" t="n">
        <v>0</v>
      </c>
      <c r="J86" t="n">
        <v>114</v>
      </c>
      <c r="K86" t="inlineStr">
        <is>
          <t>Reach Truck 1.5 Ton (1 Unit) _ 1 Tahun _ Canvassing awal &amp; Sales Call</t>
        </is>
      </c>
      <c r="L86">
        <f>IF(AND(H86="Leads", J86&lt;=0), "OVERDUE (IDLE)", IF(AND(H86="Leads", J86&lt;=14), "WARNING (3-14 Days)", IF(AND(H86="Prospect", J86&lt;=0), "PROSPECT EXPIRED", "SAFE / ON TRACK")))</f>
        <v/>
      </c>
    </row>
    <row r="87">
      <c r="A87" t="inlineStr">
        <is>
          <t>Fuji</t>
        </is>
      </c>
      <c r="B87" t="inlineStr"/>
      <c r="C87" t="inlineStr">
        <is>
          <t>Ravico</t>
        </is>
      </c>
      <c r="D87" t="inlineStr">
        <is>
          <t>TOYODEN</t>
        </is>
      </c>
      <c r="E87" t="inlineStr">
        <is>
          <t>TOYO DENSO INDONESIA</t>
        </is>
      </c>
      <c r="F87" t="inlineStr"/>
      <c r="G87" t="inlineStr">
        <is>
          <t>7.26.00952</t>
        </is>
      </c>
      <c r="H87" t="inlineStr">
        <is>
          <t>Leads</t>
        </is>
      </c>
      <c r="I87" t="n">
        <v>0</v>
      </c>
      <c r="J87" t="n">
        <v>114</v>
      </c>
      <c r="K87" t="inlineStr">
        <is>
          <t>Reach Truck 1.5 Ton (1 Unit) _ 1 Tahun _ Canvassing awal &amp; Sales Call</t>
        </is>
      </c>
      <c r="L87">
        <f>IF(AND(H87="Leads", J87&lt;=0), "OVERDUE (IDLE)", IF(AND(H87="Leads", J87&lt;=14), "WARNING (3-14 Days)", IF(AND(H87="Prospect", J87&lt;=0), "PROSPECT EXPIRED", "SAFE / ON TRACK")))</f>
        <v/>
      </c>
    </row>
    <row r="88">
      <c r="A88" t="inlineStr">
        <is>
          <t>Fuji</t>
        </is>
      </c>
      <c r="B88" t="inlineStr"/>
      <c r="C88" t="inlineStr">
        <is>
          <t>Ravico</t>
        </is>
      </c>
      <c r="D88" t="inlineStr">
        <is>
          <t>TOPTUBEID</t>
        </is>
      </c>
      <c r="E88" t="inlineStr">
        <is>
          <t>TOP TUBE INDONESIA</t>
        </is>
      </c>
      <c r="F88" t="inlineStr">
        <is>
          <t>S</t>
        </is>
      </c>
      <c r="G88" t="inlineStr">
        <is>
          <t>7.26.00958</t>
        </is>
      </c>
      <c r="H88" t="inlineStr">
        <is>
          <t>Leads</t>
        </is>
      </c>
      <c r="I88" t="n">
        <v>0</v>
      </c>
      <c r="J88" t="n">
        <v>114</v>
      </c>
      <c r="K88" t="inlineStr">
        <is>
          <t>Reach Truck 1.5 Ton (1 Unit) _ 1 Tahun _ Canvassing awal &amp; Sales Call</t>
        </is>
      </c>
      <c r="L88">
        <f>IF(AND(H88="Leads", J88&lt;=0), "OVERDUE (IDLE)", IF(AND(H88="Leads", J88&lt;=14), "WARNING (3-14 Days)", IF(AND(H88="Prospect", J88&lt;=0), "PROSPECT EXPIRED", "SAFE / ON TRACK")))</f>
        <v/>
      </c>
    </row>
    <row r="89">
      <c r="A89" t="inlineStr">
        <is>
          <t>Fuji</t>
        </is>
      </c>
      <c r="B89" t="inlineStr"/>
      <c r="C89" t="inlineStr">
        <is>
          <t>Ravico</t>
        </is>
      </c>
      <c r="D89" t="inlineStr">
        <is>
          <t>TMK</t>
        </is>
      </c>
      <c r="E89" t="inlineStr">
        <is>
          <t>TRISTAR MAKMUR KARTONINDO</t>
        </is>
      </c>
      <c r="F89" t="inlineStr"/>
      <c r="G89" t="inlineStr">
        <is>
          <t>7.26.00963</t>
        </is>
      </c>
      <c r="H89" t="inlineStr">
        <is>
          <t>Leads</t>
        </is>
      </c>
      <c r="I89" t="n">
        <v>0</v>
      </c>
      <c r="J89" t="n">
        <v>114</v>
      </c>
      <c r="K89" t="inlineStr">
        <is>
          <t>Reach Truck 1.5 Ton (1 Unit) _ 1 Tahun _ Canvassing awal &amp; Sales Call</t>
        </is>
      </c>
      <c r="L89">
        <f>IF(AND(H89="Leads", J89&lt;=0), "OVERDUE (IDLE)", IF(AND(H89="Leads", J89&lt;=14), "WARNING (3-14 Days)", IF(AND(H89="Prospect", J89&lt;=0), "PROSPECT EXPIRED", "SAFE / ON TRACK")))</f>
        <v/>
      </c>
    </row>
    <row r="90">
      <c r="A90" t="inlineStr">
        <is>
          <t>Fuji</t>
        </is>
      </c>
      <c r="B90" t="inlineStr"/>
      <c r="C90" t="inlineStr">
        <is>
          <t>Ravico</t>
        </is>
      </c>
      <c r="D90" t="inlineStr">
        <is>
          <t>TMIA</t>
        </is>
      </c>
      <c r="E90" t="inlineStr">
        <is>
          <t>TPI MANUFACTURING INDONESIA</t>
        </is>
      </c>
      <c r="F90" t="inlineStr"/>
      <c r="G90" t="inlineStr">
        <is>
          <t>7.26.00964</t>
        </is>
      </c>
      <c r="H90" t="inlineStr">
        <is>
          <t>Leads</t>
        </is>
      </c>
      <c r="I90" t="n">
        <v>0</v>
      </c>
      <c r="J90" t="n">
        <v>114</v>
      </c>
      <c r="K90" t="inlineStr">
        <is>
          <t>Reach Truck 1.5 Ton (1 Unit) _ 1 Tahun _ Canvassing awal &amp; Sales Call</t>
        </is>
      </c>
      <c r="L90">
        <f>IF(AND(H90="Leads", J90&lt;=0), "OVERDUE (IDLE)", IF(AND(H90="Leads", J90&lt;=14), "WARNING (3-14 Days)", IF(AND(H90="Prospect", J90&lt;=0), "PROSPECT EXPIRED", "SAFE / ON TRACK")))</f>
        <v/>
      </c>
    </row>
    <row r="91">
      <c r="A91" t="inlineStr">
        <is>
          <t>Fuji</t>
        </is>
      </c>
      <c r="B91" t="inlineStr"/>
      <c r="C91" t="inlineStr">
        <is>
          <t>Ravico</t>
        </is>
      </c>
      <c r="D91" t="inlineStr">
        <is>
          <t>SYNRUBID</t>
        </is>
      </c>
      <c r="E91" t="inlineStr">
        <is>
          <t>SYNTHETIC RUBBER INDONESIA</t>
        </is>
      </c>
      <c r="F91" t="inlineStr">
        <is>
          <t>S</t>
        </is>
      </c>
      <c r="G91" t="inlineStr">
        <is>
          <t>7.26.00982</t>
        </is>
      </c>
      <c r="H91" t="inlineStr">
        <is>
          <t>Leads</t>
        </is>
      </c>
      <c r="I91" t="n">
        <v>0</v>
      </c>
      <c r="J91" t="n">
        <v>114</v>
      </c>
      <c r="K91" t="inlineStr">
        <is>
          <t>Reach Truck 1.5 Ton (1 Unit) _ 1 Tahun _ Canvassing awal &amp; Sales Call</t>
        </is>
      </c>
      <c r="L91">
        <f>IF(AND(H91="Leads", J91&lt;=0), "OVERDUE (IDLE)", IF(AND(H91="Leads", J91&lt;=14), "WARNING (3-14 Days)", IF(AND(H91="Prospect", J91&lt;=0), "PROSPECT EXPIRED", "SAFE / ON TRACK")))</f>
        <v/>
      </c>
    </row>
    <row r="92">
      <c r="A92" t="inlineStr">
        <is>
          <t>Fuji</t>
        </is>
      </c>
      <c r="B92" t="inlineStr"/>
      <c r="C92" t="inlineStr">
        <is>
          <t>Ravico</t>
        </is>
      </c>
      <c r="D92" t="inlineStr">
        <is>
          <t>SWEETINDO</t>
        </is>
      </c>
      <c r="E92" t="inlineStr">
        <is>
          <t>SWEETINDO PERKASA</t>
        </is>
      </c>
      <c r="F92" t="inlineStr">
        <is>
          <t>S</t>
        </is>
      </c>
      <c r="G92" t="inlineStr">
        <is>
          <t>7.26.00983</t>
        </is>
      </c>
      <c r="H92" t="inlineStr">
        <is>
          <t>Leads</t>
        </is>
      </c>
      <c r="I92" t="n">
        <v>0</v>
      </c>
      <c r="J92" t="n">
        <v>114</v>
      </c>
      <c r="K92" t="inlineStr">
        <is>
          <t>Reach Truck 1.5 Ton (1 Unit) _ 1 Tahun _ Canvassing awal &amp; Sales Call</t>
        </is>
      </c>
      <c r="L92">
        <f>IF(AND(H92="Leads", J92&lt;=0), "OVERDUE (IDLE)", IF(AND(H92="Leads", J92&lt;=14), "WARNING (3-14 Days)", IF(AND(H92="Prospect", J92&lt;=0), "PROSPECT EXPIRED", "SAFE / ON TRACK")))</f>
        <v/>
      </c>
    </row>
    <row r="93">
      <c r="A93" t="inlineStr">
        <is>
          <t>Fuji</t>
        </is>
      </c>
      <c r="B93" t="inlineStr"/>
      <c r="C93" t="inlineStr">
        <is>
          <t>Ravico</t>
        </is>
      </c>
      <c r="D93" t="inlineStr">
        <is>
          <t>SURVEYOR</t>
        </is>
      </c>
      <c r="E93" t="inlineStr">
        <is>
          <t>SURVEYOR INDONESIA</t>
        </is>
      </c>
      <c r="F93" t="inlineStr"/>
      <c r="G93" t="inlineStr">
        <is>
          <t>7.26.00985</t>
        </is>
      </c>
      <c r="H93" t="inlineStr">
        <is>
          <t>Leads</t>
        </is>
      </c>
      <c r="I93" t="n">
        <v>0</v>
      </c>
      <c r="J93" t="n">
        <v>114</v>
      </c>
      <c r="K93" t="inlineStr">
        <is>
          <t>Reach Truck 1.5 Ton (1 Unit) _ 1 Tahun _ Canvassing awal &amp; Sales Call</t>
        </is>
      </c>
      <c r="L93">
        <f>IF(AND(H93="Leads", J93&lt;=0), "OVERDUE (IDLE)", IF(AND(H93="Leads", J93&lt;=14), "WARNING (3-14 Days)", IF(AND(H93="Prospect", J93&lt;=0), "PROSPECT EXPIRED", "SAFE / ON TRACK")))</f>
        <v/>
      </c>
    </row>
    <row r="94">
      <c r="A94" t="inlineStr">
        <is>
          <t>Fuji</t>
        </is>
      </c>
      <c r="B94" t="inlineStr"/>
      <c r="C94" t="inlineStr">
        <is>
          <t>Ravico</t>
        </is>
      </c>
      <c r="D94" t="inlineStr">
        <is>
          <t>SURJAIND</t>
        </is>
      </c>
      <c r="E94" t="inlineStr">
        <is>
          <t>SURYA FAJAR INDONESIA</t>
        </is>
      </c>
      <c r="F94" t="inlineStr">
        <is>
          <t>S</t>
        </is>
      </c>
      <c r="G94" t="inlineStr">
        <is>
          <t>7.26.00986</t>
        </is>
      </c>
      <c r="H94" t="inlineStr">
        <is>
          <t>Leads</t>
        </is>
      </c>
      <c r="I94" t="n">
        <v>0</v>
      </c>
      <c r="J94" t="n">
        <v>114</v>
      </c>
      <c r="K94" t="inlineStr">
        <is>
          <t>Reach Truck 1.5 Ton (1 Unit) _ 1 Tahun _ Canvassing awal &amp; Sales Call</t>
        </is>
      </c>
      <c r="L94">
        <f>IF(AND(H94="Leads", J94&lt;=0), "OVERDUE (IDLE)", IF(AND(H94="Leads", J94&lt;=14), "WARNING (3-14 Days)", IF(AND(H94="Prospect", J94&lt;=0), "PROSPECT EXPIRED", "SAFE / ON TRACK")))</f>
        <v/>
      </c>
    </row>
    <row r="95">
      <c r="A95" t="inlineStr">
        <is>
          <t>Fuji</t>
        </is>
      </c>
      <c r="B95" t="inlineStr"/>
      <c r="C95" t="inlineStr">
        <is>
          <t>Ravico</t>
        </is>
      </c>
      <c r="D95" t="inlineStr">
        <is>
          <t>SUPERSTEEL</t>
        </is>
      </c>
      <c r="E95" t="inlineStr">
        <is>
          <t>SUPER STEEL INDAH</t>
        </is>
      </c>
      <c r="F95" t="inlineStr"/>
      <c r="G95" t="inlineStr">
        <is>
          <t>7.26.00987</t>
        </is>
      </c>
      <c r="H95" t="inlineStr">
        <is>
          <t>Leads</t>
        </is>
      </c>
      <c r="I95" t="n">
        <v>0</v>
      </c>
      <c r="J95" t="n">
        <v>114</v>
      </c>
      <c r="K95" t="inlineStr">
        <is>
          <t>Reach Truck 1.5 Ton (1 Unit) _ 1 Tahun _ Canvassing awal &amp; Sales Call</t>
        </is>
      </c>
      <c r="L95">
        <f>IF(AND(H95="Leads", J95&lt;=0), "OVERDUE (IDLE)", IF(AND(H95="Leads", J95&lt;=14), "WARNING (3-14 Days)", IF(AND(H95="Prospect", J95&lt;=0), "PROSPECT EXPIRED", "SAFE / ON TRACK")))</f>
        <v/>
      </c>
    </row>
    <row r="96">
      <c r="A96" t="inlineStr">
        <is>
          <t>Fuji</t>
        </is>
      </c>
      <c r="B96" t="inlineStr"/>
      <c r="C96" t="inlineStr">
        <is>
          <t>Ravico</t>
        </is>
      </c>
      <c r="D96" t="inlineStr">
        <is>
          <t>SUMCOID</t>
        </is>
      </c>
      <c r="E96" t="inlineStr">
        <is>
          <t>SUMCO INDONESIA</t>
        </is>
      </c>
      <c r="F96" t="inlineStr">
        <is>
          <t>S</t>
        </is>
      </c>
      <c r="G96" t="inlineStr">
        <is>
          <t>7.26.00990</t>
        </is>
      </c>
      <c r="H96" t="inlineStr">
        <is>
          <t>Leads</t>
        </is>
      </c>
      <c r="I96" t="n">
        <v>0</v>
      </c>
      <c r="J96" t="n">
        <v>114</v>
      </c>
      <c r="K96" t="inlineStr">
        <is>
          <t>Reach Truck 1.5 Ton (1 Unit) _ 1 Tahun _ Canvassing awal &amp; Sales Call</t>
        </is>
      </c>
      <c r="L96">
        <f>IF(AND(H96="Leads", J96&lt;=0), "OVERDUE (IDLE)", IF(AND(H96="Leads", J96&lt;=14), "WARNING (3-14 Days)", IF(AND(H96="Prospect", J96&lt;=0), "PROSPECT EXPIRED", "SAFE / ON TRACK")))</f>
        <v/>
      </c>
    </row>
    <row r="97">
      <c r="A97" t="inlineStr">
        <is>
          <t>Fuji</t>
        </is>
      </c>
      <c r="B97" t="inlineStr"/>
      <c r="C97" t="inlineStr">
        <is>
          <t>Ravico</t>
        </is>
      </c>
      <c r="D97" t="inlineStr">
        <is>
          <t>SPI</t>
        </is>
      </c>
      <c r="E97" t="inlineStr">
        <is>
          <t>SHINWA PACKAGE INDONESIA</t>
        </is>
      </c>
      <c r="F97" t="inlineStr"/>
      <c r="G97" t="inlineStr">
        <is>
          <t>7.26.00996</t>
        </is>
      </c>
      <c r="H97" t="inlineStr">
        <is>
          <t>Leads</t>
        </is>
      </c>
      <c r="I97" t="n">
        <v>0</v>
      </c>
      <c r="J97" t="n">
        <v>114</v>
      </c>
      <c r="K97" t="inlineStr">
        <is>
          <t>Reach Truck 1.5 Ton (1 Unit) _ 1 Tahun _ Canvassing awal &amp; Sales Call</t>
        </is>
      </c>
      <c r="L97">
        <f>IF(AND(H97="Leads", J97&lt;=0), "OVERDUE (IDLE)", IF(AND(H97="Leads", J97&lt;=14), "WARNING (3-14 Days)", IF(AND(H97="Prospect", J97&lt;=0), "PROSPECT EXPIRED", "SAFE / ON TRACK")))</f>
        <v/>
      </c>
    </row>
    <row r="98">
      <c r="A98" t="inlineStr">
        <is>
          <t>Fuji</t>
        </is>
      </c>
      <c r="B98" t="inlineStr"/>
      <c r="C98" t="inlineStr">
        <is>
          <t>Ravico</t>
        </is>
      </c>
      <c r="D98" t="inlineStr">
        <is>
          <t>SPEKTRUM</t>
        </is>
      </c>
      <c r="E98" t="inlineStr">
        <is>
          <t>SPEKTRUM KRISINDO ELEKTRIKA</t>
        </is>
      </c>
      <c r="F98" t="inlineStr"/>
      <c r="G98" t="inlineStr">
        <is>
          <t>7.26.00997</t>
        </is>
      </c>
      <c r="H98" t="inlineStr">
        <is>
          <t>Leads</t>
        </is>
      </c>
      <c r="I98" t="n">
        <v>0</v>
      </c>
      <c r="J98" t="n">
        <v>114</v>
      </c>
      <c r="K98" t="inlineStr">
        <is>
          <t>Reach Truck 1.5 Ton (1 Unit) _ 1 Tahun _ Canvassing awal &amp; Sales Call</t>
        </is>
      </c>
      <c r="L98">
        <f>IF(AND(H98="Leads", J98&lt;=0), "OVERDUE (IDLE)", IF(AND(H98="Leads", J98&lt;=14), "WARNING (3-14 Days)", IF(AND(H98="Prospect", J98&lt;=0), "PROSPECT EXPIRED", "SAFE / ON TRACK")))</f>
        <v/>
      </c>
    </row>
    <row r="99">
      <c r="A99" t="inlineStr">
        <is>
          <t>Fuji</t>
        </is>
      </c>
      <c r="B99" t="inlineStr"/>
      <c r="C99" t="inlineStr">
        <is>
          <t>Ravico</t>
        </is>
      </c>
      <c r="D99" t="inlineStr">
        <is>
          <t>SOLMITSEJ</t>
        </is>
      </c>
      <c r="E99" t="inlineStr">
        <is>
          <t>SOLUSINDO MITRA SEJAHTERA</t>
        </is>
      </c>
      <c r="F99" t="inlineStr"/>
      <c r="G99" t="inlineStr">
        <is>
          <t>7.26.01002</t>
        </is>
      </c>
      <c r="H99" t="inlineStr">
        <is>
          <t>Leads</t>
        </is>
      </c>
      <c r="I99" t="n">
        <v>0</v>
      </c>
      <c r="J99" t="n">
        <v>114</v>
      </c>
      <c r="K99" t="inlineStr">
        <is>
          <t>Reach Truck 1.5 Ton (1 Unit) _ 1 Tahun _ Canvassing awal &amp; Sales Call</t>
        </is>
      </c>
      <c r="L99">
        <f>IF(AND(H99="Leads", J99&lt;=0), "OVERDUE (IDLE)", IF(AND(H99="Leads", J99&lt;=14), "WARNING (3-14 Days)", IF(AND(H99="Prospect", J99&lt;=0), "PROSPECT EXPIRED", "SAFE / ON TRACK")))</f>
        <v/>
      </c>
    </row>
    <row r="100">
      <c r="A100" t="inlineStr">
        <is>
          <t>Fuji</t>
        </is>
      </c>
      <c r="B100" t="inlineStr"/>
      <c r="C100" t="inlineStr">
        <is>
          <t>Ravico</t>
        </is>
      </c>
      <c r="D100" t="inlineStr">
        <is>
          <t>SMI</t>
        </is>
      </c>
      <c r="E100" t="inlineStr">
        <is>
          <t>SAMICK INDONESIA</t>
        </is>
      </c>
      <c r="F100" t="inlineStr"/>
      <c r="G100" t="inlineStr">
        <is>
          <t>7.26.01007</t>
        </is>
      </c>
      <c r="H100" t="inlineStr">
        <is>
          <t>Leads</t>
        </is>
      </c>
      <c r="I100" t="n">
        <v>0</v>
      </c>
      <c r="J100" t="n">
        <v>114</v>
      </c>
      <c r="K100" t="inlineStr">
        <is>
          <t>Reach Truck 1.5 Ton (1 Unit) _ 1 Tahun _ Canvassing awal &amp; Sales Call</t>
        </is>
      </c>
      <c r="L100">
        <f>IF(AND(H100="Leads", J100&lt;=0), "OVERDUE (IDLE)", IF(AND(H100="Leads", J100&lt;=14), "WARNING (3-14 Days)", IF(AND(H100="Prospect", J100&lt;=0), "PROSPECT EXPIRED", "SAFE / ON TRACK")))</f>
        <v/>
      </c>
    </row>
    <row r="101">
      <c r="A101" t="inlineStr">
        <is>
          <t>Fuji</t>
        </is>
      </c>
      <c r="B101" t="inlineStr"/>
      <c r="C101" t="inlineStr">
        <is>
          <t>Ravico</t>
        </is>
      </c>
      <c r="D101" t="inlineStr">
        <is>
          <t>SINOTRANS</t>
        </is>
      </c>
      <c r="E101" t="inlineStr">
        <is>
          <t>SINOTRANS OVERSEAS INDONESIA</t>
        </is>
      </c>
      <c r="F101" t="inlineStr">
        <is>
          <t>M</t>
        </is>
      </c>
      <c r="G101" t="inlineStr">
        <is>
          <t>7.26.01015</t>
        </is>
      </c>
      <c r="H101" t="inlineStr">
        <is>
          <t>Leads</t>
        </is>
      </c>
      <c r="I101" t="n">
        <v>0</v>
      </c>
      <c r="J101" t="n">
        <v>114</v>
      </c>
      <c r="K101" t="inlineStr">
        <is>
          <t>Reach Truck 1.5 Ton (1 Unit) _ 1 Tahun _ Canvassing awal &amp; Sales Call</t>
        </is>
      </c>
      <c r="L101">
        <f>IF(AND(H101="Leads", J101&lt;=0), "OVERDUE (IDLE)", IF(AND(H101="Leads", J101&lt;=14), "WARNING (3-14 Days)", IF(AND(H101="Prospect", J101&lt;=0), "PROSPECT EXPIRED", "SAFE / ON TRACK")))</f>
        <v/>
      </c>
    </row>
    <row r="102">
      <c r="A102" t="inlineStr">
        <is>
          <t>Fuji</t>
        </is>
      </c>
      <c r="B102" t="inlineStr"/>
      <c r="C102" t="inlineStr">
        <is>
          <t>Ravico</t>
        </is>
      </c>
      <c r="D102" t="inlineStr">
        <is>
          <t>SINA</t>
        </is>
      </c>
      <c r="E102" t="inlineStr">
        <is>
          <t>SUGIYAMA INDONESIA</t>
        </is>
      </c>
      <c r="F102" t="inlineStr"/>
      <c r="G102" t="inlineStr">
        <is>
          <t>7.26.01017</t>
        </is>
      </c>
      <c r="H102" t="inlineStr">
        <is>
          <t>Leads</t>
        </is>
      </c>
      <c r="I102" t="n">
        <v>0</v>
      </c>
      <c r="J102" t="n">
        <v>114</v>
      </c>
      <c r="K102" t="inlineStr">
        <is>
          <t>Reach Truck 1.5 Ton (1 Unit) _ 1 Tahun _ Canvassing awal &amp; Sales Call</t>
        </is>
      </c>
      <c r="L102">
        <f>IF(AND(H102="Leads", J102&lt;=0), "OVERDUE (IDLE)", IF(AND(H102="Leads", J102&lt;=14), "WARNING (3-14 Days)", IF(AND(H102="Prospect", J102&lt;=0), "PROSPECT EXPIRED", "SAFE / ON TRACK")))</f>
        <v/>
      </c>
    </row>
    <row r="103">
      <c r="A103" t="inlineStr">
        <is>
          <t>Fuji</t>
        </is>
      </c>
      <c r="B103" t="inlineStr"/>
      <c r="C103" t="inlineStr">
        <is>
          <t>Ravico</t>
        </is>
      </c>
      <c r="D103" t="inlineStr">
        <is>
          <t>SID</t>
        </is>
      </c>
      <c r="E103" t="inlineStr">
        <is>
          <t>SEMEN INDONESIA DISTRIBUTOR</t>
        </is>
      </c>
      <c r="F103" t="inlineStr">
        <is>
          <t>L</t>
        </is>
      </c>
      <c r="G103" t="inlineStr">
        <is>
          <t>7.26.01019</t>
        </is>
      </c>
      <c r="H103" t="inlineStr">
        <is>
          <t>Leads</t>
        </is>
      </c>
      <c r="I103" t="n">
        <v>0</v>
      </c>
      <c r="J103" t="n">
        <v>114</v>
      </c>
      <c r="K103" t="inlineStr">
        <is>
          <t>Reach Truck 1.5 Ton (1 Unit) _ 1 Tahun _ Canvassing awal &amp; Sales Call</t>
        </is>
      </c>
      <c r="L103">
        <f>IF(AND(H103="Leads", J103&lt;=0), "OVERDUE (IDLE)", IF(AND(H103="Leads", J103&lt;=14), "WARNING (3-14 Days)", IF(AND(H103="Prospect", J103&lt;=0), "PROSPECT EXPIRED", "SAFE / ON TRACK")))</f>
        <v/>
      </c>
    </row>
    <row r="104">
      <c r="A104" t="inlineStr">
        <is>
          <t>Fuji</t>
        </is>
      </c>
      <c r="B104" t="inlineStr"/>
      <c r="C104" t="inlineStr">
        <is>
          <t>Ravico</t>
        </is>
      </c>
      <c r="D104" t="inlineStr">
        <is>
          <t>SHOWA</t>
        </is>
      </c>
      <c r="E104" t="inlineStr">
        <is>
          <t>SHOWA KOSAN INDONESIA</t>
        </is>
      </c>
      <c r="F104" t="inlineStr"/>
      <c r="G104" t="inlineStr">
        <is>
          <t>7.26.01023</t>
        </is>
      </c>
      <c r="H104" t="inlineStr">
        <is>
          <t>Leads</t>
        </is>
      </c>
      <c r="I104" t="n">
        <v>0</v>
      </c>
      <c r="J104" t="n">
        <v>114</v>
      </c>
      <c r="K104" t="inlineStr">
        <is>
          <t>Reach Truck 1.5 Ton (1 Unit) _ 1 Tahun _ Canvassing awal &amp; Sales Call</t>
        </is>
      </c>
      <c r="L104">
        <f>IF(AND(H104="Leads", J104&lt;=0), "OVERDUE (IDLE)", IF(AND(H104="Leads", J104&lt;=14), "WARNING (3-14 Days)", IF(AND(H104="Prospect", J104&lt;=0), "PROSPECT EXPIRED", "SAFE / ON TRACK")))</f>
        <v/>
      </c>
    </row>
    <row r="105">
      <c r="A105" t="inlineStr">
        <is>
          <t>Fuji</t>
        </is>
      </c>
      <c r="B105" t="inlineStr"/>
      <c r="C105" t="inlineStr">
        <is>
          <t>Ravico</t>
        </is>
      </c>
      <c r="D105" t="inlineStr">
        <is>
          <t>SHINKOGIND</t>
        </is>
      </c>
      <c r="E105" t="inlineStr">
        <is>
          <t>SHINTO KOGYO INDONESIA</t>
        </is>
      </c>
      <c r="F105" t="inlineStr"/>
      <c r="G105" t="inlineStr">
        <is>
          <t>7.26.01026</t>
        </is>
      </c>
      <c r="H105" t="inlineStr">
        <is>
          <t>Leads</t>
        </is>
      </c>
      <c r="I105" t="n">
        <v>0</v>
      </c>
      <c r="J105" t="n">
        <v>114</v>
      </c>
      <c r="K105" t="inlineStr">
        <is>
          <t>Reach Truck 1.5 Ton (1 Unit) _ 1 Tahun _ Canvassing awal &amp; Sales Call</t>
        </is>
      </c>
      <c r="L105">
        <f>IF(AND(H105="Leads", J105&lt;=0), "OVERDUE (IDLE)", IF(AND(H105="Leads", J105&lt;=14), "WARNING (3-14 Days)", IF(AND(H105="Prospect", J105&lt;=0), "PROSPECT EXPIRED", "SAFE / ON TRACK")))</f>
        <v/>
      </c>
    </row>
    <row r="106">
      <c r="A106" t="inlineStr">
        <is>
          <t>Fuji</t>
        </is>
      </c>
      <c r="B106" t="inlineStr"/>
      <c r="C106" t="inlineStr">
        <is>
          <t>Ravico</t>
        </is>
      </c>
      <c r="D106" t="inlineStr">
        <is>
          <t>SHING</t>
        </is>
      </c>
      <c r="E106" t="inlineStr">
        <is>
          <t>SHINANOA INDONESIA</t>
        </is>
      </c>
      <c r="F106" t="inlineStr"/>
      <c r="G106" t="inlineStr">
        <is>
          <t>7.26.01027</t>
        </is>
      </c>
      <c r="H106" t="inlineStr">
        <is>
          <t>Leads</t>
        </is>
      </c>
      <c r="I106" t="n">
        <v>0</v>
      </c>
      <c r="J106" t="n">
        <v>114</v>
      </c>
      <c r="K106" t="inlineStr">
        <is>
          <t>Reach Truck 1.5 Ton (1 Unit) _ 1 Tahun _ Canvassing awal &amp; Sales Call</t>
        </is>
      </c>
      <c r="L106">
        <f>IF(AND(H106="Leads", J106&lt;=0), "OVERDUE (IDLE)", IF(AND(H106="Leads", J106&lt;=14), "WARNING (3-14 Days)", IF(AND(H106="Prospect", J106&lt;=0), "PROSPECT EXPIRED", "SAFE / ON TRACK")))</f>
        <v/>
      </c>
    </row>
    <row r="107">
      <c r="A107" t="inlineStr">
        <is>
          <t>Fuji</t>
        </is>
      </c>
      <c r="B107" t="inlineStr"/>
      <c r="C107" t="inlineStr">
        <is>
          <t>Ravico</t>
        </is>
      </c>
      <c r="D107" t="inlineStr">
        <is>
          <t>SEKAR</t>
        </is>
      </c>
      <c r="E107" t="inlineStr">
        <is>
          <t>SEKAR GOLDEN HARVESTA INDONESIA</t>
        </is>
      </c>
      <c r="F107" t="inlineStr">
        <is>
          <t>L</t>
        </is>
      </c>
      <c r="G107" t="inlineStr">
        <is>
          <t>7.26.01039</t>
        </is>
      </c>
      <c r="H107" t="inlineStr">
        <is>
          <t>Leads</t>
        </is>
      </c>
      <c r="I107" t="n">
        <v>0</v>
      </c>
      <c r="J107" t="n">
        <v>114</v>
      </c>
      <c r="K107" t="inlineStr">
        <is>
          <t>Reach Truck 1.5 Ton (1 Unit) _ 1 Tahun _ Canvassing awal &amp; Sales Call</t>
        </is>
      </c>
      <c r="L107">
        <f>IF(AND(H107="Leads", J107&lt;=0), "OVERDUE (IDLE)", IF(AND(H107="Leads", J107&lt;=14), "WARNING (3-14 Days)", IF(AND(H107="Prospect", J107&lt;=0), "PROSPECT EXPIRED", "SAFE / ON TRACK")))</f>
        <v/>
      </c>
    </row>
    <row r="108">
      <c r="A108" t="inlineStr">
        <is>
          <t>Fuji</t>
        </is>
      </c>
      <c r="B108" t="inlineStr"/>
      <c r="C108" t="inlineStr">
        <is>
          <t>Ravico</t>
        </is>
      </c>
      <c r="D108" t="inlineStr">
        <is>
          <t>SCIND</t>
        </is>
      </c>
      <c r="E108" t="inlineStr">
        <is>
          <t>PT SICER INDONESIA</t>
        </is>
      </c>
      <c r="F108" t="inlineStr">
        <is>
          <t>S</t>
        </is>
      </c>
      <c r="G108" t="inlineStr">
        <is>
          <t>7.26.01050</t>
        </is>
      </c>
      <c r="H108" t="inlineStr">
        <is>
          <t>Leads</t>
        </is>
      </c>
      <c r="I108" t="n">
        <v>0</v>
      </c>
      <c r="J108" t="n">
        <v>114</v>
      </c>
      <c r="K108" t="inlineStr">
        <is>
          <t>Reach Truck 1.5 Ton (1 Unit) _ 1 Tahun _ Canvassing awal &amp; Sales Call</t>
        </is>
      </c>
      <c r="L108">
        <f>IF(AND(H108="Leads", J108&lt;=0), "OVERDUE (IDLE)", IF(AND(H108="Leads", J108&lt;=14), "WARNING (3-14 Days)", IF(AND(H108="Prospect", J108&lt;=0), "PROSPECT EXPIRED", "SAFE / ON TRACK")))</f>
        <v/>
      </c>
    </row>
    <row r="109">
      <c r="A109" t="inlineStr">
        <is>
          <t>Fuji</t>
        </is>
      </c>
      <c r="B109" t="inlineStr"/>
      <c r="C109" t="inlineStr">
        <is>
          <t>Ravico</t>
        </is>
      </c>
      <c r="D109" t="inlineStr">
        <is>
          <t>SCGINDONES</t>
        </is>
      </c>
      <c r="E109" t="inlineStr">
        <is>
          <t>SCG READYMIX INDONESIA</t>
        </is>
      </c>
      <c r="F109" t="inlineStr"/>
      <c r="G109" t="inlineStr">
        <is>
          <t>7.26.01054</t>
        </is>
      </c>
      <c r="H109" t="inlineStr">
        <is>
          <t>Leads</t>
        </is>
      </c>
      <c r="I109" t="n">
        <v>0</v>
      </c>
      <c r="J109" t="n">
        <v>114</v>
      </c>
      <c r="K109" t="inlineStr">
        <is>
          <t>Reach Truck 1.5 Ton (1 Unit) _ 1 Tahun _ Canvassing awal &amp; Sales Call</t>
        </is>
      </c>
      <c r="L109">
        <f>IF(AND(H109="Leads", J109&lt;=0), "OVERDUE (IDLE)", IF(AND(H109="Leads", J109&lt;=14), "WARNING (3-14 Days)", IF(AND(H109="Prospect", J109&lt;=0), "PROSPECT EXPIRED", "SAFE / ON TRACK")))</f>
        <v/>
      </c>
    </row>
    <row r="110">
      <c r="A110" t="inlineStr">
        <is>
          <t>Fuji</t>
        </is>
      </c>
      <c r="B110" t="inlineStr"/>
      <c r="C110" t="inlineStr">
        <is>
          <t>Ravico</t>
        </is>
      </c>
      <c r="D110" t="inlineStr">
        <is>
          <t>SBSA</t>
        </is>
      </c>
      <c r="E110" t="inlineStr">
        <is>
          <t>SINDE BUDI SENTOSA</t>
        </is>
      </c>
      <c r="F110" t="inlineStr"/>
      <c r="G110" t="inlineStr">
        <is>
          <t>7.26.01056</t>
        </is>
      </c>
      <c r="H110" t="inlineStr">
        <is>
          <t>Leads</t>
        </is>
      </c>
      <c r="I110" t="n">
        <v>0</v>
      </c>
      <c r="J110" t="n">
        <v>114</v>
      </c>
      <c r="K110" t="inlineStr">
        <is>
          <t>Reach Truck 1.5 Ton (1 Unit) _ 1 Tahun _ Canvassing awal &amp; Sales Call</t>
        </is>
      </c>
      <c r="L110">
        <f>IF(AND(H110="Leads", J110&lt;=0), "OVERDUE (IDLE)", IF(AND(H110="Leads", J110&lt;=14), "WARNING (3-14 Days)", IF(AND(H110="Prospect", J110&lt;=0), "PROSPECT EXPIRED", "SAFE / ON TRACK")))</f>
        <v/>
      </c>
    </row>
    <row r="111">
      <c r="A111" t="inlineStr">
        <is>
          <t>Fuji</t>
        </is>
      </c>
      <c r="B111" t="inlineStr"/>
      <c r="C111" t="inlineStr">
        <is>
          <t>Ravico</t>
        </is>
      </c>
      <c r="D111" t="inlineStr">
        <is>
          <t>SANBEFARMA</t>
        </is>
      </c>
      <c r="E111" t="inlineStr">
        <is>
          <t>GRAHA RENINDO</t>
        </is>
      </c>
      <c r="F111" t="inlineStr">
        <is>
          <t>S</t>
        </is>
      </c>
      <c r="G111" t="inlineStr">
        <is>
          <t>7.26.01063</t>
        </is>
      </c>
      <c r="H111" t="inlineStr">
        <is>
          <t>Leads</t>
        </is>
      </c>
      <c r="I111" t="n">
        <v>0</v>
      </c>
      <c r="J111" t="n">
        <v>114</v>
      </c>
      <c r="K111" t="inlineStr">
        <is>
          <t>Reach Truck 1.5 Ton (1 Unit) _ 1 Tahun _ Canvassing awal &amp; Sales Call</t>
        </is>
      </c>
      <c r="L111">
        <f>IF(AND(H111="Leads", J111&lt;=0), "OVERDUE (IDLE)", IF(AND(H111="Leads", J111&lt;=14), "WARNING (3-14 Days)", IF(AND(H111="Prospect", J111&lt;=0), "PROSPECT EXPIRED", "SAFE / ON TRACK")))</f>
        <v/>
      </c>
    </row>
    <row r="112">
      <c r="A112" t="inlineStr">
        <is>
          <t>Fuji</t>
        </is>
      </c>
      <c r="B112" t="inlineStr"/>
      <c r="C112" t="inlineStr">
        <is>
          <t>Ravico</t>
        </is>
      </c>
      <c r="D112" t="inlineStr">
        <is>
          <t>RUSKYAERO</t>
        </is>
      </c>
      <c r="E112" t="inlineStr">
        <is>
          <t>RUSKY AERO INDONESIA</t>
        </is>
      </c>
      <c r="F112" t="inlineStr"/>
      <c r="G112" t="inlineStr">
        <is>
          <t>7.26.01070</t>
        </is>
      </c>
      <c r="H112" t="inlineStr">
        <is>
          <t>Leads</t>
        </is>
      </c>
      <c r="I112" t="n">
        <v>0</v>
      </c>
      <c r="J112" t="n">
        <v>114</v>
      </c>
      <c r="K112" t="inlineStr">
        <is>
          <t>Reach Truck 1.5 Ton (1 Unit) _ 1 Tahun _ Canvassing awal &amp; Sales Call</t>
        </is>
      </c>
      <c r="L112">
        <f>IF(AND(H112="Leads", J112&lt;=0), "OVERDUE (IDLE)", IF(AND(H112="Leads", J112&lt;=14), "WARNING (3-14 Days)", IF(AND(H112="Prospect", J112&lt;=0), "PROSPECT EXPIRED", "SAFE / ON TRACK")))</f>
        <v/>
      </c>
    </row>
    <row r="113">
      <c r="A113" t="inlineStr">
        <is>
          <t>Fuji</t>
        </is>
      </c>
      <c r="B113" t="inlineStr"/>
      <c r="C113" t="inlineStr">
        <is>
          <t>Ravico</t>
        </is>
      </c>
      <c r="D113" t="inlineStr">
        <is>
          <t>ROYNASIA</t>
        </is>
      </c>
      <c r="E113" t="inlineStr">
        <is>
          <t>ROYAL PESONA INDONESIA</t>
        </is>
      </c>
      <c r="F113" t="inlineStr">
        <is>
          <t>M</t>
        </is>
      </c>
      <c r="G113" t="inlineStr">
        <is>
          <t>7.26.01075</t>
        </is>
      </c>
      <c r="H113" t="inlineStr">
        <is>
          <t>Leads</t>
        </is>
      </c>
      <c r="I113" t="n">
        <v>0</v>
      </c>
      <c r="J113" t="n">
        <v>114</v>
      </c>
      <c r="K113" t="inlineStr">
        <is>
          <t>Reach Truck 1.5 Ton (1 Unit) _ 1 Tahun _ Canvassing awal &amp; Sales Call</t>
        </is>
      </c>
      <c r="L113">
        <f>IF(AND(H113="Leads", J113&lt;=0), "OVERDUE (IDLE)", IF(AND(H113="Leads", J113&lt;=14), "WARNING (3-14 Days)", IF(AND(H113="Prospect", J113&lt;=0), "PROSPECT EXPIRED", "SAFE / ON TRACK")))</f>
        <v/>
      </c>
    </row>
    <row r="114">
      <c r="A114" t="inlineStr">
        <is>
          <t>Fuji</t>
        </is>
      </c>
      <c r="B114" t="inlineStr"/>
      <c r="C114" t="inlineStr">
        <is>
          <t>Ravico</t>
        </is>
      </c>
      <c r="D114" t="inlineStr">
        <is>
          <t>ROYALCANIN</t>
        </is>
      </c>
      <c r="E114" t="inlineStr">
        <is>
          <t>PT ROYAL CANIN INDONESIA</t>
        </is>
      </c>
      <c r="F114" t="inlineStr">
        <is>
          <t>S</t>
        </is>
      </c>
      <c r="G114" t="inlineStr">
        <is>
          <t>7.26.01076</t>
        </is>
      </c>
      <c r="H114" t="inlineStr">
        <is>
          <t>Leads</t>
        </is>
      </c>
      <c r="I114" t="n">
        <v>0</v>
      </c>
      <c r="J114" t="n">
        <v>114</v>
      </c>
      <c r="K114" t="inlineStr">
        <is>
          <t>Reach Truck 1.5 Ton (1 Unit) _ 1 Tahun _ Canvassing awal &amp; Sales Call</t>
        </is>
      </c>
      <c r="L114">
        <f>IF(AND(H114="Leads", J114&lt;=0), "OVERDUE (IDLE)", IF(AND(H114="Leads", J114&lt;=14), "WARNING (3-14 Days)", IF(AND(H114="Prospect", J114&lt;=0), "PROSPECT EXPIRED", "SAFE / ON TRACK")))</f>
        <v/>
      </c>
    </row>
    <row r="115">
      <c r="A115" t="inlineStr">
        <is>
          <t>Fuji</t>
        </is>
      </c>
      <c r="B115" t="inlineStr"/>
      <c r="C115" t="inlineStr">
        <is>
          <t>Ravico</t>
        </is>
      </c>
      <c r="D115" t="inlineStr">
        <is>
          <t>ROIND</t>
        </is>
      </c>
      <c r="E115" t="inlineStr">
        <is>
          <t>ROCHE INDONESIA</t>
        </is>
      </c>
      <c r="F115" t="inlineStr"/>
      <c r="G115" t="inlineStr">
        <is>
          <t>7.26.01079</t>
        </is>
      </c>
      <c r="H115" t="inlineStr">
        <is>
          <t>Leads</t>
        </is>
      </c>
      <c r="I115" t="n">
        <v>0</v>
      </c>
      <c r="J115" t="n">
        <v>114</v>
      </c>
      <c r="K115" t="inlineStr">
        <is>
          <t>Reach Truck 1.5 Ton (1 Unit) _ 1 Tahun _ Canvassing awal &amp; Sales Call</t>
        </is>
      </c>
      <c r="L115">
        <f>IF(AND(H115="Leads", J115&lt;=0), "OVERDUE (IDLE)", IF(AND(H115="Leads", J115&lt;=14), "WARNING (3-14 Days)", IF(AND(H115="Prospect", J115&lt;=0), "PROSPECT EXPIRED", "SAFE / ON TRACK")))</f>
        <v/>
      </c>
    </row>
    <row r="116">
      <c r="A116" t="inlineStr">
        <is>
          <t>Fuji</t>
        </is>
      </c>
      <c r="B116" t="inlineStr"/>
      <c r="C116" t="inlineStr">
        <is>
          <t>Ravico</t>
        </is>
      </c>
      <c r="D116" t="inlineStr">
        <is>
          <t>RINNAI</t>
        </is>
      </c>
      <c r="E116" t="inlineStr">
        <is>
          <t>RINNAI INDONESIA</t>
        </is>
      </c>
      <c r="F116" t="inlineStr">
        <is>
          <t>M</t>
        </is>
      </c>
      <c r="G116" t="inlineStr">
        <is>
          <t>7.26.01085</t>
        </is>
      </c>
      <c r="H116" t="inlineStr">
        <is>
          <t>Leads</t>
        </is>
      </c>
      <c r="I116" t="n">
        <v>0</v>
      </c>
      <c r="J116" t="n">
        <v>114</v>
      </c>
      <c r="K116" t="inlineStr">
        <is>
          <t>Reach Truck 1.5 Ton (1 Unit) _ 1 Tahun _ Canvassing awal &amp; Sales Call</t>
        </is>
      </c>
      <c r="L116">
        <f>IF(AND(H116="Leads", J116&lt;=0), "OVERDUE (IDLE)", IF(AND(H116="Leads", J116&lt;=14), "WARNING (3-14 Days)", IF(AND(H116="Prospect", J116&lt;=0), "PROSPECT EXPIRED", "SAFE / ON TRACK")))</f>
        <v/>
      </c>
    </row>
    <row r="117">
      <c r="A117" t="inlineStr">
        <is>
          <t>Fuji</t>
        </is>
      </c>
      <c r="B117" t="inlineStr"/>
      <c r="C117" t="inlineStr">
        <is>
          <t>Ravico</t>
        </is>
      </c>
      <c r="D117" t="inlineStr">
        <is>
          <t>RIAINDO</t>
        </is>
      </c>
      <c r="E117" t="inlineStr">
        <is>
          <t>PT RIA INDO AGRI</t>
        </is>
      </c>
      <c r="F117" t="inlineStr">
        <is>
          <t>M</t>
        </is>
      </c>
      <c r="G117" t="inlineStr">
        <is>
          <t>7.26.01087</t>
        </is>
      </c>
      <c r="H117" t="inlineStr">
        <is>
          <t>Prospect</t>
        </is>
      </c>
      <c r="I117" t="n">
        <v>78</v>
      </c>
      <c r="J117" t="n">
        <v>258</v>
      </c>
      <c r="K117" t="inlineStr">
        <is>
          <t>Forklift 3 Ton (2 Unit) _ 2 Tahun _ SPH Dikirim ke User</t>
        </is>
      </c>
      <c r="L117">
        <f>IF(AND(H117="Leads", J117&lt;=0), "OVERDUE (IDLE)", IF(AND(H117="Leads", J117&lt;=14), "WARNING (3-14 Days)", IF(AND(H117="Prospect", J117&lt;=0), "PROSPECT EXPIRED", "SAFE / ON TRACK")))</f>
        <v/>
      </c>
    </row>
    <row r="118">
      <c r="A118" t="inlineStr">
        <is>
          <t>Fuji</t>
        </is>
      </c>
      <c r="B118" t="inlineStr"/>
      <c r="C118" t="inlineStr">
        <is>
          <t>Ravico</t>
        </is>
      </c>
      <c r="D118" t="inlineStr">
        <is>
          <t>RIABUSANA</t>
        </is>
      </c>
      <c r="E118" t="inlineStr">
        <is>
          <t>PT RIA INDAH MANDIRI</t>
        </is>
      </c>
      <c r="F118" t="inlineStr">
        <is>
          <t>S</t>
        </is>
      </c>
      <c r="G118" t="inlineStr">
        <is>
          <t>7.26.01088</t>
        </is>
      </c>
      <c r="H118" t="inlineStr">
        <is>
          <t>Leads</t>
        </is>
      </c>
      <c r="I118" t="n">
        <v>0</v>
      </c>
      <c r="J118" t="n">
        <v>114</v>
      </c>
      <c r="K118" t="inlineStr">
        <is>
          <t>Reach Truck 1.5 Ton (1 Unit) _ 1 Tahun _ Canvassing awal &amp; Sales Call</t>
        </is>
      </c>
      <c r="L118">
        <f>IF(AND(H118="Leads", J118&lt;=0), "OVERDUE (IDLE)", IF(AND(H118="Leads", J118&lt;=14), "WARNING (3-14 Days)", IF(AND(H118="Prospect", J118&lt;=0), "PROSPECT EXPIRED", "SAFE / ON TRACK")))</f>
        <v/>
      </c>
    </row>
    <row r="119">
      <c r="A119" t="inlineStr">
        <is>
          <t>Fuji</t>
        </is>
      </c>
      <c r="B119" t="inlineStr"/>
      <c r="C119" t="inlineStr">
        <is>
          <t>Ravico</t>
        </is>
      </c>
      <c r="D119" t="inlineStr">
        <is>
          <t>PTSI</t>
        </is>
      </c>
      <c r="E119" t="inlineStr">
        <is>
          <t>PT PRECISION TOOLS SERVICE INDONESIA</t>
        </is>
      </c>
      <c r="F119" t="inlineStr">
        <is>
          <t>M</t>
        </is>
      </c>
      <c r="G119" t="inlineStr">
        <is>
          <t>7.26.01095</t>
        </is>
      </c>
      <c r="H119" t="inlineStr">
        <is>
          <t>Leads</t>
        </is>
      </c>
      <c r="I119" t="n">
        <v>0</v>
      </c>
      <c r="J119" t="n">
        <v>114</v>
      </c>
      <c r="K119" t="inlineStr">
        <is>
          <t>Reach Truck 1.5 Ton (1 Unit) _ 1 Tahun _ Canvassing awal &amp; Sales Call</t>
        </is>
      </c>
      <c r="L119">
        <f>IF(AND(H119="Leads", J119&lt;=0), "OVERDUE (IDLE)", IF(AND(H119="Leads", J119&lt;=14), "WARNING (3-14 Days)", IF(AND(H119="Prospect", J119&lt;=0), "PROSPECT EXPIRED", "SAFE / ON TRACK")))</f>
        <v/>
      </c>
    </row>
    <row r="120">
      <c r="A120" t="inlineStr">
        <is>
          <t>Fuji</t>
        </is>
      </c>
      <c r="B120" t="inlineStr"/>
      <c r="C120" t="inlineStr">
        <is>
          <t>Ravico</t>
        </is>
      </c>
      <c r="D120" t="inlineStr">
        <is>
          <t>PTOI</t>
        </is>
      </c>
      <c r="E120" t="inlineStr">
        <is>
          <t>OTSUKA INDONESIA</t>
        </is>
      </c>
      <c r="F120" t="inlineStr"/>
      <c r="G120" t="inlineStr">
        <is>
          <t>7.26.01098</t>
        </is>
      </c>
      <c r="H120" t="inlineStr">
        <is>
          <t>Leads</t>
        </is>
      </c>
      <c r="I120" t="n">
        <v>0</v>
      </c>
      <c r="J120" t="n">
        <v>114</v>
      </c>
      <c r="K120" t="inlineStr">
        <is>
          <t>Reach Truck 1.5 Ton (1 Unit) _ 1 Tahun _ Canvassing awal &amp; Sales Call</t>
        </is>
      </c>
      <c r="L120">
        <f>IF(AND(H120="Leads", J120&lt;=0), "OVERDUE (IDLE)", IF(AND(H120="Leads", J120&lt;=14), "WARNING (3-14 Days)", IF(AND(H120="Prospect", J120&lt;=0), "PROSPECT EXPIRED", "SAFE / ON TRACK")))</f>
        <v/>
      </c>
    </row>
    <row r="121">
      <c r="A121" t="inlineStr">
        <is>
          <t>Fuji</t>
        </is>
      </c>
      <c r="B121" t="inlineStr"/>
      <c r="C121" t="inlineStr">
        <is>
          <t>Ravico</t>
        </is>
      </c>
      <c r="D121" t="inlineStr">
        <is>
          <t>PROCTER</t>
        </is>
      </c>
      <c r="E121" t="inlineStr">
        <is>
          <t>PROCTER &amp; GAMBLE HOME PRODUCTS INDONESIA.</t>
        </is>
      </c>
      <c r="F121" t="inlineStr"/>
      <c r="G121" t="inlineStr">
        <is>
          <t>7.26.01101</t>
        </is>
      </c>
      <c r="H121" t="inlineStr">
        <is>
          <t>Leads</t>
        </is>
      </c>
      <c r="I121" t="n">
        <v>0</v>
      </c>
      <c r="J121" t="n">
        <v>114</v>
      </c>
      <c r="K121" t="inlineStr">
        <is>
          <t>Reach Truck 1.5 Ton (1 Unit) _ 1 Tahun _ Canvassing awal &amp; Sales Call</t>
        </is>
      </c>
      <c r="L121">
        <f>IF(AND(H121="Leads", J121&lt;=0), "OVERDUE (IDLE)", IF(AND(H121="Leads", J121&lt;=14), "WARNING (3-14 Days)", IF(AND(H121="Prospect", J121&lt;=0), "PROSPECT EXPIRED", "SAFE / ON TRACK")))</f>
        <v/>
      </c>
    </row>
    <row r="122">
      <c r="A122" t="inlineStr">
        <is>
          <t>Fuji</t>
        </is>
      </c>
      <c r="B122" t="inlineStr"/>
      <c r="C122" t="inlineStr">
        <is>
          <t>Ravico</t>
        </is>
      </c>
      <c r="D122" t="inlineStr">
        <is>
          <t>PRIMAS</t>
        </is>
      </c>
      <c r="E122" t="inlineStr">
        <is>
          <t>PRIMA SEGAR INDOSARI</t>
        </is>
      </c>
      <c r="F122" t="inlineStr"/>
      <c r="G122" t="inlineStr">
        <is>
          <t>7.26.01105</t>
        </is>
      </c>
      <c r="H122" t="inlineStr">
        <is>
          <t>Leads</t>
        </is>
      </c>
      <c r="I122" t="n">
        <v>0</v>
      </c>
      <c r="J122" t="n">
        <v>114</v>
      </c>
      <c r="K122" t="inlineStr">
        <is>
          <t>Reach Truck 1.5 Ton (1 Unit) _ 1 Tahun _ Canvassing awal &amp; Sales Call</t>
        </is>
      </c>
      <c r="L122">
        <f>IF(AND(H122="Leads", J122&lt;=0), "OVERDUE (IDLE)", IF(AND(H122="Leads", J122&lt;=14), "WARNING (3-14 Days)", IF(AND(H122="Prospect", J122&lt;=0), "PROSPECT EXPIRED", "SAFE / ON TRACK")))</f>
        <v/>
      </c>
    </row>
    <row r="123">
      <c r="A123" t="inlineStr">
        <is>
          <t>Fuji</t>
        </is>
      </c>
      <c r="B123" t="inlineStr"/>
      <c r="C123" t="inlineStr">
        <is>
          <t>Ravico</t>
        </is>
      </c>
      <c r="D123" t="inlineStr">
        <is>
          <t>POLYCHEM</t>
        </is>
      </c>
      <c r="E123" t="inlineStr">
        <is>
          <t>POLYCHEM INDONESIA</t>
        </is>
      </c>
      <c r="F123" t="inlineStr"/>
      <c r="G123" t="inlineStr">
        <is>
          <t>7.26.01110</t>
        </is>
      </c>
      <c r="H123" t="inlineStr">
        <is>
          <t>Leads</t>
        </is>
      </c>
      <c r="I123" t="n">
        <v>0</v>
      </c>
      <c r="J123" t="n">
        <v>114</v>
      </c>
      <c r="K123" t="inlineStr">
        <is>
          <t>Reach Truck 1.5 Ton (1 Unit) _ 1 Tahun _ Canvassing awal &amp; Sales Call</t>
        </is>
      </c>
      <c r="L123">
        <f>IF(AND(H123="Leads", J123&lt;=0), "OVERDUE (IDLE)", IF(AND(H123="Leads", J123&lt;=14), "WARNING (3-14 Days)", IF(AND(H123="Prospect", J123&lt;=0), "PROSPECT EXPIRED", "SAFE / ON TRACK")))</f>
        <v/>
      </c>
    </row>
    <row r="124">
      <c r="A124" t="inlineStr">
        <is>
          <t>Fuji</t>
        </is>
      </c>
      <c r="B124" t="inlineStr"/>
      <c r="C124" t="inlineStr">
        <is>
          <t>Ravico</t>
        </is>
      </c>
      <c r="D124" t="inlineStr">
        <is>
          <t>PNG</t>
        </is>
      </c>
      <c r="E124" t="inlineStr">
        <is>
          <t>PROCTER &amp; GAMBLE OPERATIONS INDONESIA</t>
        </is>
      </c>
      <c r="F124" t="inlineStr"/>
      <c r="G124" t="inlineStr">
        <is>
          <t>7.26.01112</t>
        </is>
      </c>
      <c r="H124" t="inlineStr">
        <is>
          <t>Leads</t>
        </is>
      </c>
      <c r="I124" t="n">
        <v>0</v>
      </c>
      <c r="J124" t="n">
        <v>114</v>
      </c>
      <c r="K124" t="inlineStr">
        <is>
          <t>Reach Truck 1.5 Ton (1 Unit) _ 1 Tahun _ Canvassing awal &amp; Sales Call</t>
        </is>
      </c>
      <c r="L124">
        <f>IF(AND(H124="Leads", J124&lt;=0), "OVERDUE (IDLE)", IF(AND(H124="Leads", J124&lt;=14), "WARNING (3-14 Days)", IF(AND(H124="Prospect", J124&lt;=0), "PROSPECT EXPIRED", "SAFE / ON TRACK")))</f>
        <v/>
      </c>
    </row>
    <row r="125">
      <c r="A125" t="inlineStr">
        <is>
          <t>Fuji</t>
        </is>
      </c>
      <c r="B125" t="inlineStr"/>
      <c r="C125" t="inlineStr">
        <is>
          <t>Ravico</t>
        </is>
      </c>
      <c r="D125" t="inlineStr">
        <is>
          <t>PIPR</t>
        </is>
      </c>
      <c r="E125" t="inlineStr">
        <is>
          <t>PACIFIC INDAH PRATAMA</t>
        </is>
      </c>
      <c r="F125" t="inlineStr">
        <is>
          <t>S</t>
        </is>
      </c>
      <c r="G125" t="inlineStr">
        <is>
          <t>7.26.01113</t>
        </is>
      </c>
      <c r="H125" t="inlineStr">
        <is>
          <t>Leads</t>
        </is>
      </c>
      <c r="I125" t="n">
        <v>0</v>
      </c>
      <c r="J125" t="n">
        <v>114</v>
      </c>
      <c r="K125" t="inlineStr">
        <is>
          <t>Reach Truck 1.5 Ton (1 Unit) _ 1 Tahun _ Canvassing awal &amp; Sales Call</t>
        </is>
      </c>
      <c r="L125">
        <f>IF(AND(H125="Leads", J125&lt;=0), "OVERDUE (IDLE)", IF(AND(H125="Leads", J125&lt;=14), "WARNING (3-14 Days)", IF(AND(H125="Prospect", J125&lt;=0), "PROSPECT EXPIRED", "SAFE / ON TRACK")))</f>
        <v/>
      </c>
    </row>
    <row r="126">
      <c r="A126" t="inlineStr">
        <is>
          <t>Fuji</t>
        </is>
      </c>
      <c r="B126" t="inlineStr"/>
      <c r="C126" t="inlineStr">
        <is>
          <t>Ravico</t>
        </is>
      </c>
      <c r="D126" t="inlineStr">
        <is>
          <t>PHILIPMORI</t>
        </is>
      </c>
      <c r="E126" t="inlineStr">
        <is>
          <t>PHILIP MORRIS INDONESIA</t>
        </is>
      </c>
      <c r="F126" t="inlineStr"/>
      <c r="G126" t="inlineStr">
        <is>
          <t>7.26.01118</t>
        </is>
      </c>
      <c r="H126" t="inlineStr">
        <is>
          <t>Leads</t>
        </is>
      </c>
      <c r="I126" t="n">
        <v>0</v>
      </c>
      <c r="J126" t="n">
        <v>114</v>
      </c>
      <c r="K126" t="inlineStr">
        <is>
          <t>Reach Truck 1.5 Ton (1 Unit) _ 1 Tahun _ Canvassing awal &amp; Sales Call</t>
        </is>
      </c>
      <c r="L126">
        <f>IF(AND(H126="Leads", J126&lt;=0), "OVERDUE (IDLE)", IF(AND(H126="Leads", J126&lt;=14), "WARNING (3-14 Days)", IF(AND(H126="Prospect", J126&lt;=0), "PROSPECT EXPIRED", "SAFE / ON TRACK")))</f>
        <v/>
      </c>
    </row>
    <row r="127">
      <c r="A127" t="inlineStr">
        <is>
          <t>Fuji</t>
        </is>
      </c>
      <c r="B127" t="inlineStr"/>
      <c r="C127" t="inlineStr">
        <is>
          <t>Ravico</t>
        </is>
      </c>
      <c r="D127" t="inlineStr">
        <is>
          <t>PHAROS</t>
        </is>
      </c>
      <c r="E127" t="inlineStr">
        <is>
          <t>PHAROS INDONESIA</t>
        </is>
      </c>
      <c r="F127" t="inlineStr">
        <is>
          <t>L</t>
        </is>
      </c>
      <c r="G127" t="inlineStr">
        <is>
          <t>7.26.01119</t>
        </is>
      </c>
      <c r="H127" t="inlineStr">
        <is>
          <t>Leads</t>
        </is>
      </c>
      <c r="I127" t="n">
        <v>0</v>
      </c>
      <c r="J127" t="n">
        <v>114</v>
      </c>
      <c r="K127" t="inlineStr">
        <is>
          <t>Reach Truck 1.5 Ton (1 Unit) _ 1 Tahun _ Canvassing awal &amp; Sales Call</t>
        </is>
      </c>
      <c r="L127">
        <f>IF(AND(H127="Leads", J127&lt;=0), "OVERDUE (IDLE)", IF(AND(H127="Leads", J127&lt;=14), "WARNING (3-14 Days)", IF(AND(H127="Prospect", J127&lt;=0), "PROSPECT EXPIRED", "SAFE / ON TRACK")))</f>
        <v/>
      </c>
    </row>
    <row r="128">
      <c r="A128" t="inlineStr">
        <is>
          <t>Fuji</t>
        </is>
      </c>
      <c r="B128" t="inlineStr"/>
      <c r="C128" t="inlineStr">
        <is>
          <t>Ravico</t>
        </is>
      </c>
      <c r="D128" t="inlineStr">
        <is>
          <t>PFI</t>
        </is>
      </c>
      <c r="E128" t="inlineStr">
        <is>
          <t>PACIFIC FOOD INDONESIA</t>
        </is>
      </c>
      <c r="F128" t="inlineStr">
        <is>
          <t>S</t>
        </is>
      </c>
      <c r="G128" t="inlineStr">
        <is>
          <t>7.26.01122</t>
        </is>
      </c>
      <c r="H128" t="inlineStr">
        <is>
          <t>Leads</t>
        </is>
      </c>
      <c r="I128" t="n">
        <v>0</v>
      </c>
      <c r="J128" t="n">
        <v>114</v>
      </c>
      <c r="K128" t="inlineStr">
        <is>
          <t>Reach Truck 1.5 Ton (1 Unit) _ 1 Tahun _ Canvassing awal &amp; Sales Call</t>
        </is>
      </c>
      <c r="L128">
        <f>IF(AND(H128="Leads", J128&lt;=0), "OVERDUE (IDLE)", IF(AND(H128="Leads", J128&lt;=14), "WARNING (3-14 Days)", IF(AND(H128="Prospect", J128&lt;=0), "PROSPECT EXPIRED", "SAFE / ON TRACK")))</f>
        <v/>
      </c>
    </row>
    <row r="129">
      <c r="A129" t="inlineStr">
        <is>
          <t>Fuji</t>
        </is>
      </c>
      <c r="B129" t="inlineStr"/>
      <c r="C129" t="inlineStr">
        <is>
          <t>Ravico</t>
        </is>
      </c>
      <c r="D129" t="inlineStr">
        <is>
          <t>PEPSI</t>
        </is>
      </c>
      <c r="E129" t="inlineStr">
        <is>
          <t>PT PEPSICO INDONESIA FOODS AND BEVERAGES</t>
        </is>
      </c>
      <c r="F129" t="inlineStr">
        <is>
          <t>S</t>
        </is>
      </c>
      <c r="G129" t="inlineStr">
        <is>
          <t>7.26.01125</t>
        </is>
      </c>
      <c r="H129" t="inlineStr">
        <is>
          <t>Leads</t>
        </is>
      </c>
      <c r="I129" t="n">
        <v>0</v>
      </c>
      <c r="J129" t="n">
        <v>114</v>
      </c>
      <c r="K129" t="inlineStr">
        <is>
          <t>Reach Truck 1.5 Ton (1 Unit) _ 1 Tahun _ Canvassing awal &amp; Sales Call</t>
        </is>
      </c>
      <c r="L129">
        <f>IF(AND(H129="Leads", J129&lt;=0), "OVERDUE (IDLE)", IF(AND(H129="Leads", J129&lt;=14), "WARNING (3-14 Days)", IF(AND(H129="Prospect", J129&lt;=0), "PROSPECT EXPIRED", "SAFE / ON TRACK")))</f>
        <v/>
      </c>
    </row>
    <row r="130">
      <c r="A130" t="inlineStr">
        <is>
          <t>Fuji</t>
        </is>
      </c>
      <c r="B130" t="inlineStr"/>
      <c r="C130" t="inlineStr">
        <is>
          <t>Ravico</t>
        </is>
      </c>
      <c r="D130" t="inlineStr">
        <is>
          <t>PELNI</t>
        </is>
      </c>
      <c r="E130" t="inlineStr">
        <is>
          <t>PELAYARAN NASIONAL INDONESIA</t>
        </is>
      </c>
      <c r="F130" t="inlineStr"/>
      <c r="G130" t="inlineStr">
        <is>
          <t>7.26.01128</t>
        </is>
      </c>
      <c r="H130" t="inlineStr">
        <is>
          <t>Leads</t>
        </is>
      </c>
      <c r="I130" t="n">
        <v>0</v>
      </c>
      <c r="J130" t="n">
        <v>114</v>
      </c>
      <c r="K130" t="inlineStr">
        <is>
          <t>Reach Truck 1.5 Ton (1 Unit) _ 1 Tahun _ Canvassing awal &amp; Sales Call</t>
        </is>
      </c>
      <c r="L130">
        <f>IF(AND(H130="Leads", J130&lt;=0), "OVERDUE (IDLE)", IF(AND(H130="Leads", J130&lt;=14), "WARNING (3-14 Days)", IF(AND(H130="Prospect", J130&lt;=0), "PROSPECT EXPIRED", "SAFE / ON TRACK")))</f>
        <v/>
      </c>
    </row>
    <row r="131">
      <c r="A131" t="inlineStr">
        <is>
          <t>Fuji</t>
        </is>
      </c>
      <c r="B131" t="inlineStr"/>
      <c r="C131" t="inlineStr">
        <is>
          <t>Ravico</t>
        </is>
      </c>
      <c r="D131" t="inlineStr">
        <is>
          <t>PELGARIND</t>
        </is>
      </c>
      <c r="E131" t="inlineStr">
        <is>
          <t>PT PELABUHAN TEGAR INDONESIA</t>
        </is>
      </c>
      <c r="F131" t="inlineStr">
        <is>
          <t>L</t>
        </is>
      </c>
      <c r="G131" t="inlineStr">
        <is>
          <t>7.26.01130</t>
        </is>
      </c>
      <c r="H131" t="inlineStr">
        <is>
          <t>Leads</t>
        </is>
      </c>
      <c r="I131" t="n">
        <v>0</v>
      </c>
      <c r="J131" t="n">
        <v>114</v>
      </c>
      <c r="K131" t="inlineStr">
        <is>
          <t>Reach Truck 1.5 Ton (1 Unit) _ 1 Tahun _ Canvassing awal &amp; Sales Call</t>
        </is>
      </c>
      <c r="L131">
        <f>IF(AND(H131="Leads", J131&lt;=0), "OVERDUE (IDLE)", IF(AND(H131="Leads", J131&lt;=14), "WARNING (3-14 Days)", IF(AND(H131="Prospect", J131&lt;=0), "PROSPECT EXPIRED", "SAFE / ON TRACK")))</f>
        <v/>
      </c>
    </row>
    <row r="132">
      <c r="A132" t="inlineStr">
        <is>
          <t>Fuji</t>
        </is>
      </c>
      <c r="B132" t="inlineStr"/>
      <c r="C132" t="inlineStr">
        <is>
          <t>Ravico</t>
        </is>
      </c>
      <c r="D132" t="inlineStr">
        <is>
          <t>PEARLRIVER</t>
        </is>
      </c>
      <c r="E132" t="inlineStr">
        <is>
          <t>PEARL RIVER INDONESIA</t>
        </is>
      </c>
      <c r="F132" t="inlineStr"/>
      <c r="G132" t="inlineStr">
        <is>
          <t>7.26.01131</t>
        </is>
      </c>
      <c r="H132" t="inlineStr">
        <is>
          <t>Leads</t>
        </is>
      </c>
      <c r="I132" t="n">
        <v>0</v>
      </c>
      <c r="J132" t="n">
        <v>114</v>
      </c>
      <c r="K132" t="inlineStr">
        <is>
          <t>Reach Truck 1.5 Ton (1 Unit) _ 1 Tahun _ Canvassing awal &amp; Sales Call</t>
        </is>
      </c>
      <c r="L132">
        <f>IF(AND(H132="Leads", J132&lt;=0), "OVERDUE (IDLE)", IF(AND(H132="Leads", J132&lt;=14), "WARNING (3-14 Days)", IF(AND(H132="Prospect", J132&lt;=0), "PROSPECT EXPIRED", "SAFE / ON TRACK")))</f>
        <v/>
      </c>
    </row>
    <row r="133">
      <c r="A133" t="inlineStr">
        <is>
          <t>Fuji</t>
        </is>
      </c>
      <c r="B133" t="inlineStr"/>
      <c r="C133" t="inlineStr">
        <is>
          <t>Ravico</t>
        </is>
      </c>
      <c r="D133" t="inlineStr">
        <is>
          <t>NOSE</t>
        </is>
      </c>
      <c r="E133" t="inlineStr">
        <is>
          <t>NOSE HERBAL INDO</t>
        </is>
      </c>
      <c r="F133" t="inlineStr">
        <is>
          <t>S</t>
        </is>
      </c>
      <c r="G133" t="inlineStr">
        <is>
          <t>7.26.01142</t>
        </is>
      </c>
      <c r="H133" t="inlineStr">
        <is>
          <t>Leads</t>
        </is>
      </c>
      <c r="I133" t="n">
        <v>0</v>
      </c>
      <c r="J133" t="n">
        <v>114</v>
      </c>
      <c r="K133" t="inlineStr">
        <is>
          <t>Reach Truck 1.5 Ton (1 Unit) _ 1 Tahun _ Canvassing awal &amp; Sales Call</t>
        </is>
      </c>
      <c r="L133">
        <f>IF(AND(H133="Leads", J133&lt;=0), "OVERDUE (IDLE)", IF(AND(H133="Leads", J133&lt;=14), "WARNING (3-14 Days)", IF(AND(H133="Prospect", J133&lt;=0), "PROSPECT EXPIRED", "SAFE / ON TRACK")))</f>
        <v/>
      </c>
    </row>
    <row r="134">
      <c r="A134" t="inlineStr">
        <is>
          <t>Fuji</t>
        </is>
      </c>
      <c r="B134" t="inlineStr"/>
      <c r="C134" t="inlineStr">
        <is>
          <t>Ravico</t>
        </is>
      </c>
      <c r="D134" t="inlineStr">
        <is>
          <t>NMCI</t>
        </is>
      </c>
      <c r="E134" t="inlineStr">
        <is>
          <t>NOF MAS CHEMICAL INDUSTRIES</t>
        </is>
      </c>
      <c r="F134" t="inlineStr"/>
      <c r="G134" t="inlineStr">
        <is>
          <t>7.26.01144</t>
        </is>
      </c>
      <c r="H134" t="inlineStr">
        <is>
          <t>Leads</t>
        </is>
      </c>
      <c r="I134" t="n">
        <v>0</v>
      </c>
      <c r="J134" t="n">
        <v>114</v>
      </c>
      <c r="K134" t="inlineStr">
        <is>
          <t>Reach Truck 1.5 Ton (1 Unit) _ 1 Tahun _ Canvassing awal &amp; Sales Call</t>
        </is>
      </c>
      <c r="L134">
        <f>IF(AND(H134="Leads", J134&lt;=0), "OVERDUE (IDLE)", IF(AND(H134="Leads", J134&lt;=14), "WARNING (3-14 Days)", IF(AND(H134="Prospect", J134&lt;=0), "PROSPECT EXPIRED", "SAFE / ON TRACK")))</f>
        <v/>
      </c>
    </row>
    <row r="135">
      <c r="A135" t="inlineStr">
        <is>
          <t>Fuji</t>
        </is>
      </c>
      <c r="B135" t="inlineStr"/>
      <c r="C135" t="inlineStr">
        <is>
          <t>Ravico</t>
        </is>
      </c>
      <c r="D135" t="inlineStr">
        <is>
          <t>MUPC</t>
        </is>
      </c>
      <c r="E135" t="inlineStr">
        <is>
          <t>MITRA UNIT PLASTINDO CEMERLANG</t>
        </is>
      </c>
      <c r="F135" t="inlineStr">
        <is>
          <t>S</t>
        </is>
      </c>
      <c r="G135" t="inlineStr">
        <is>
          <t>7.26.01147</t>
        </is>
      </c>
      <c r="H135" t="inlineStr">
        <is>
          <t>Leads</t>
        </is>
      </c>
      <c r="I135" t="n">
        <v>0</v>
      </c>
      <c r="J135" t="n">
        <v>114</v>
      </c>
      <c r="K135" t="inlineStr">
        <is>
          <t>Reach Truck 1.5 Ton (1 Unit) _ 1 Tahun _ Canvassing awal &amp; Sales Call</t>
        </is>
      </c>
      <c r="L135">
        <f>IF(AND(H135="Leads", J135&lt;=0), "OVERDUE (IDLE)", IF(AND(H135="Leads", J135&lt;=14), "WARNING (3-14 Days)", IF(AND(H135="Prospect", J135&lt;=0), "PROSPECT EXPIRED", "SAFE / ON TRACK")))</f>
        <v/>
      </c>
    </row>
    <row r="136">
      <c r="A136" t="inlineStr">
        <is>
          <t>Fuji</t>
        </is>
      </c>
      <c r="B136" t="inlineStr"/>
      <c r="C136" t="inlineStr">
        <is>
          <t>Ravico</t>
        </is>
      </c>
      <c r="D136" t="inlineStr">
        <is>
          <t>BUMINUSA</t>
        </is>
      </c>
      <c r="E136" t="inlineStr">
        <is>
          <t>BUMI NUSANTARA</t>
        </is>
      </c>
      <c r="F136" t="inlineStr">
        <is>
          <t>S</t>
        </is>
      </c>
      <c r="G136" t="inlineStr">
        <is>
          <t>7.26.01182</t>
        </is>
      </c>
      <c r="H136" t="inlineStr">
        <is>
          <t>Leads</t>
        </is>
      </c>
      <c r="I136" t="n">
        <v>0</v>
      </c>
      <c r="J136" t="n">
        <v>114</v>
      </c>
      <c r="K136" t="inlineStr">
        <is>
          <t>Reach Truck 1.5 Ton (1 Unit) _ 1 Tahun _ Canvassing awal &amp; Sales Call</t>
        </is>
      </c>
      <c r="L136">
        <f>IF(AND(H136="Leads", J136&lt;=0), "OVERDUE (IDLE)", IF(AND(H136="Leads", J136&lt;=14), "WARNING (3-14 Days)", IF(AND(H136="Prospect", J136&lt;=0), "PROSPECT EXPIRED", "SAFE / ON TRACK")))</f>
        <v/>
      </c>
    </row>
    <row r="137">
      <c r="A137" t="inlineStr">
        <is>
          <t>Fuji</t>
        </is>
      </c>
      <c r="B137" t="inlineStr"/>
      <c r="C137" t="inlineStr">
        <is>
          <t>Ravico</t>
        </is>
      </c>
      <c r="D137" t="inlineStr">
        <is>
          <t>MAERSK</t>
        </is>
      </c>
      <c r="E137" t="inlineStr">
        <is>
          <t>PELAYARAN BINTANG PUTIH</t>
        </is>
      </c>
      <c r="F137" t="inlineStr"/>
      <c r="G137" t="inlineStr">
        <is>
          <t>7.26.01315</t>
        </is>
      </c>
      <c r="H137" t="inlineStr">
        <is>
          <t>Leads</t>
        </is>
      </c>
      <c r="I137" t="n">
        <v>0</v>
      </c>
      <c r="J137" t="n">
        <v>114</v>
      </c>
      <c r="K137" t="inlineStr">
        <is>
          <t>Reach Truck 1.5 Ton (1 Unit) _ 1 Tahun _ Canvassing awal &amp; Sales Call</t>
        </is>
      </c>
      <c r="L137">
        <f>IF(AND(H137="Leads", J137&lt;=0), "OVERDUE (IDLE)", IF(AND(H137="Leads", J137&lt;=14), "WARNING (3-14 Days)", IF(AND(H137="Prospect", J137&lt;=0), "PROSPECT EXPIRED", "SAFE / ON TRACK")))</f>
        <v/>
      </c>
    </row>
    <row r="138">
      <c r="A138" t="inlineStr">
        <is>
          <t>Fuji</t>
        </is>
      </c>
      <c r="B138" t="inlineStr"/>
      <c r="C138" t="inlineStr">
        <is>
          <t>Ravico</t>
        </is>
      </c>
      <c r="D138" t="inlineStr">
        <is>
          <t>SL</t>
        </is>
      </c>
      <c r="E138" t="inlineStr">
        <is>
          <t>SUGAR LABINTA</t>
        </is>
      </c>
      <c r="F138" t="inlineStr"/>
      <c r="G138" t="inlineStr">
        <is>
          <t>7.26.01317</t>
        </is>
      </c>
      <c r="H138" t="inlineStr">
        <is>
          <t>Leads</t>
        </is>
      </c>
      <c r="I138" t="n">
        <v>0</v>
      </c>
      <c r="J138" t="n">
        <v>114</v>
      </c>
      <c r="K138" t="inlineStr">
        <is>
          <t>Reach Truck 1.5 Ton (1 Unit) _ 1 Tahun _ Canvassing awal &amp; Sales Call</t>
        </is>
      </c>
      <c r="L138">
        <f>IF(AND(H138="Leads", J138&lt;=0), "OVERDUE (IDLE)", IF(AND(H138="Leads", J138&lt;=14), "WARNING (3-14 Days)", IF(AND(H138="Prospect", J138&lt;=0), "PROSPECT EXPIRED", "SAFE / ON TRACK")))</f>
        <v/>
      </c>
    </row>
    <row r="139">
      <c r="A139" t="inlineStr">
        <is>
          <t>Fuji</t>
        </is>
      </c>
      <c r="B139" t="inlineStr"/>
      <c r="C139" t="inlineStr">
        <is>
          <t>Ravico</t>
        </is>
      </c>
      <c r="D139" t="inlineStr">
        <is>
          <t>NTDDCCTS</t>
        </is>
      </c>
      <c r="E139" t="inlineStr">
        <is>
          <t>UNITED DICO CITAS</t>
        </is>
      </c>
      <c r="F139" t="inlineStr"/>
      <c r="G139" t="inlineStr">
        <is>
          <t>7.26.01338</t>
        </is>
      </c>
      <c r="H139" t="inlineStr">
        <is>
          <t>Leads</t>
        </is>
      </c>
      <c r="I139" t="n">
        <v>0</v>
      </c>
      <c r="J139" t="n">
        <v>114</v>
      </c>
      <c r="K139" t="inlineStr">
        <is>
          <t>Reach Truck 1.5 Ton (1 Unit) _ 1 Tahun _ Canvassing awal &amp; Sales Call</t>
        </is>
      </c>
      <c r="L139">
        <f>IF(AND(H139="Leads", J139&lt;=0), "OVERDUE (IDLE)", IF(AND(H139="Leads", J139&lt;=14), "WARNING (3-14 Days)", IF(AND(H139="Prospect", J139&lt;=0), "PROSPECT EXPIRED", "SAFE / ON TRACK")))</f>
        <v/>
      </c>
    </row>
    <row r="140">
      <c r="A140" t="inlineStr">
        <is>
          <t>Fuji</t>
        </is>
      </c>
      <c r="B140" t="inlineStr"/>
      <c r="C140" t="inlineStr">
        <is>
          <t>Ravico</t>
        </is>
      </c>
      <c r="D140" t="inlineStr">
        <is>
          <t>PANCALOGAM</t>
        </is>
      </c>
      <c r="E140" t="inlineStr">
        <is>
          <t>PANCA LOGAM SUKSES MANDIRI</t>
        </is>
      </c>
      <c r="F140" t="inlineStr"/>
      <c r="G140" t="inlineStr">
        <is>
          <t>7.26.01405</t>
        </is>
      </c>
      <c r="H140" t="inlineStr">
        <is>
          <t>Leads</t>
        </is>
      </c>
      <c r="I140" t="n">
        <v>0</v>
      </c>
      <c r="J140" t="n">
        <v>114</v>
      </c>
      <c r="K140" t="inlineStr">
        <is>
          <t>Reach Truck 1.5 Ton (1 Unit) _ 1 Tahun _ Canvassing awal &amp; Sales Call</t>
        </is>
      </c>
      <c r="L140">
        <f>IF(AND(H140="Leads", J140&lt;=0), "OVERDUE (IDLE)", IF(AND(H140="Leads", J140&lt;=14), "WARNING (3-14 Days)", IF(AND(H140="Prospect", J140&lt;=0), "PROSPECT EXPIRED", "SAFE / ON TRACK")))</f>
        <v/>
      </c>
    </row>
    <row r="141">
      <c r="A141" t="inlineStr">
        <is>
          <t>Fuji</t>
        </is>
      </c>
      <c r="B141" t="inlineStr"/>
      <c r="C141" t="inlineStr">
        <is>
          <t>Ravico</t>
        </is>
      </c>
      <c r="D141" t="inlineStr">
        <is>
          <t>PRESISI</t>
        </is>
      </c>
      <c r="E141" t="inlineStr">
        <is>
          <t>PRESISI DIGITAL MODEREN TEKNOLOGI</t>
        </is>
      </c>
      <c r="F141" t="inlineStr"/>
      <c r="G141" t="inlineStr">
        <is>
          <t>7.26.01408</t>
        </is>
      </c>
      <c r="H141" t="inlineStr">
        <is>
          <t>Leads</t>
        </is>
      </c>
      <c r="I141" t="n">
        <v>0</v>
      </c>
      <c r="J141" t="n">
        <v>114</v>
      </c>
      <c r="K141" t="inlineStr">
        <is>
          <t>Reach Truck 1.5 Ton (1 Unit) _ 1 Tahun _ Canvassing awal &amp; Sales Call</t>
        </is>
      </c>
      <c r="L141">
        <f>IF(AND(H141="Leads", J141&lt;=0), "OVERDUE (IDLE)", IF(AND(H141="Leads", J141&lt;=14), "WARNING (3-14 Days)", IF(AND(H141="Prospect", J141&lt;=0), "PROSPECT EXPIRED", "SAFE / ON TRACK")))</f>
        <v/>
      </c>
    </row>
    <row r="142">
      <c r="A142" t="inlineStr">
        <is>
          <t>Fuji</t>
        </is>
      </c>
      <c r="B142" t="inlineStr"/>
      <c r="C142" t="inlineStr">
        <is>
          <t>Ravico</t>
        </is>
      </c>
      <c r="D142" t="inlineStr">
        <is>
          <t>GKM</t>
        </is>
      </c>
      <c r="E142" t="inlineStr">
        <is>
          <t>GLOBAL KARSA MEDIKA</t>
        </is>
      </c>
      <c r="F142" t="inlineStr">
        <is>
          <t>S</t>
        </is>
      </c>
      <c r="G142" t="inlineStr">
        <is>
          <t>7.26.01485</t>
        </is>
      </c>
      <c r="H142" t="inlineStr">
        <is>
          <t>Leads</t>
        </is>
      </c>
      <c r="I142" t="n">
        <v>0</v>
      </c>
      <c r="J142" t="n">
        <v>114</v>
      </c>
      <c r="K142" t="inlineStr">
        <is>
          <t>Reach Truck 1.5 Ton (1 Unit) _ 1 Tahun _ Canvassing awal &amp; Sales Call</t>
        </is>
      </c>
      <c r="L142">
        <f>IF(AND(H142="Leads", J142&lt;=0), "OVERDUE (IDLE)", IF(AND(H142="Leads", J142&lt;=14), "WARNING (3-14 Days)", IF(AND(H142="Prospect", J142&lt;=0), "PROSPECT EXPIRED", "SAFE / ON TRACK")))</f>
        <v/>
      </c>
    </row>
    <row r="143">
      <c r="A143" t="inlineStr">
        <is>
          <t>Fuji</t>
        </is>
      </c>
      <c r="B143" t="inlineStr"/>
      <c r="C143" t="inlineStr">
        <is>
          <t>Ravico</t>
        </is>
      </c>
      <c r="D143" t="inlineStr">
        <is>
          <t>KAPALAPI</t>
        </is>
      </c>
      <c r="E143" t="inlineStr">
        <is>
          <t>KAPAL API GLOBAL</t>
        </is>
      </c>
      <c r="F143" t="inlineStr">
        <is>
          <t>S</t>
        </is>
      </c>
      <c r="G143" t="inlineStr">
        <is>
          <t>7.26.01494</t>
        </is>
      </c>
      <c r="H143" t="inlineStr">
        <is>
          <t>Leads</t>
        </is>
      </c>
      <c r="I143" t="n">
        <v>0</v>
      </c>
      <c r="J143" t="n">
        <v>114</v>
      </c>
      <c r="K143" t="inlineStr">
        <is>
          <t>Reach Truck 1.5 Ton (1 Unit) _ 1 Tahun _ Canvassing awal &amp; Sales Call</t>
        </is>
      </c>
      <c r="L143">
        <f>IF(AND(H143="Leads", J143&lt;=0), "OVERDUE (IDLE)", IF(AND(H143="Leads", J143&lt;=14), "WARNING (3-14 Days)", IF(AND(H143="Prospect", J143&lt;=0), "PROSPECT EXPIRED", "SAFE / ON TRACK")))</f>
        <v/>
      </c>
    </row>
    <row r="144">
      <c r="A144" t="inlineStr">
        <is>
          <t>Fuji</t>
        </is>
      </c>
      <c r="B144" t="inlineStr"/>
      <c r="C144" t="inlineStr">
        <is>
          <t>Ravico</t>
        </is>
      </c>
      <c r="D144" t="inlineStr">
        <is>
          <t>PANASONIC</t>
        </is>
      </c>
      <c r="E144" t="inlineStr">
        <is>
          <t>PANASONIC GOBEL LIFE SOLUTIONS</t>
        </is>
      </c>
      <c r="F144" t="inlineStr"/>
      <c r="G144" t="inlineStr">
        <is>
          <t>7.26.01525</t>
        </is>
      </c>
      <c r="H144" t="inlineStr">
        <is>
          <t>Leads</t>
        </is>
      </c>
      <c r="I144" t="n">
        <v>0</v>
      </c>
      <c r="J144" t="n">
        <v>114</v>
      </c>
      <c r="K144" t="inlineStr">
        <is>
          <t>Reach Truck 1.5 Ton (1 Unit) _ 1 Tahun _ Canvassing awal &amp; Sales Call</t>
        </is>
      </c>
      <c r="L144">
        <f>IF(AND(H144="Leads", J144&lt;=0), "OVERDUE (IDLE)", IF(AND(H144="Leads", J144&lt;=14), "WARNING (3-14 Days)", IF(AND(H144="Prospect", J144&lt;=0), "PROSPECT EXPIRED", "SAFE / ON TRACK")))</f>
        <v/>
      </c>
    </row>
    <row r="145">
      <c r="A145" t="inlineStr">
        <is>
          <t>Fuji</t>
        </is>
      </c>
      <c r="B145" t="inlineStr"/>
      <c r="C145" t="inlineStr">
        <is>
          <t>Ravico</t>
        </is>
      </c>
      <c r="D145" t="inlineStr">
        <is>
          <t>GGL</t>
        </is>
      </c>
      <c r="E145" t="inlineStr">
        <is>
          <t>GREAT GIANT LIVESTOCK</t>
        </is>
      </c>
      <c r="F145" t="inlineStr">
        <is>
          <t>M</t>
        </is>
      </c>
      <c r="G145" t="inlineStr">
        <is>
          <t>7.26.01553</t>
        </is>
      </c>
      <c r="H145" t="inlineStr">
        <is>
          <t>Leads</t>
        </is>
      </c>
      <c r="I145" t="n">
        <v>0</v>
      </c>
      <c r="J145" t="n">
        <v>115</v>
      </c>
      <c r="K145" t="inlineStr">
        <is>
          <t>Reach Truck 1.5 Ton (1 Unit) _ 1 Tahun _ Canvassing awal &amp; Sales Call</t>
        </is>
      </c>
      <c r="L145">
        <f>IF(AND(H145="Leads", J145&lt;=0), "OVERDUE (IDLE)", IF(AND(H145="Leads", J145&lt;=14), "WARNING (3-14 Days)", IF(AND(H145="Prospect", J145&lt;=0), "PROSPECT EXPIRED", "SAFE / ON TRACK")))</f>
        <v/>
      </c>
    </row>
    <row r="146">
      <c r="A146" t="inlineStr">
        <is>
          <t>Fuji</t>
        </is>
      </c>
      <c r="B146" t="inlineStr"/>
      <c r="C146" t="inlineStr">
        <is>
          <t>Ravico</t>
        </is>
      </c>
      <c r="D146" t="inlineStr">
        <is>
          <t>CHINA</t>
        </is>
      </c>
      <c r="E146" t="inlineStr">
        <is>
          <t>CHINA LIFE INSURANCE</t>
        </is>
      </c>
      <c r="F146" t="inlineStr"/>
      <c r="G146" t="inlineStr">
        <is>
          <t>7.26.01576</t>
        </is>
      </c>
      <c r="H146" t="inlineStr">
        <is>
          <t>Leads</t>
        </is>
      </c>
      <c r="I146" t="n">
        <v>0</v>
      </c>
      <c r="J146" t="n">
        <v>115</v>
      </c>
      <c r="K146" t="inlineStr">
        <is>
          <t>Reach Truck 1.5 Ton (1 Unit) _ 1 Tahun _ Canvassing awal &amp; Sales Call</t>
        </is>
      </c>
      <c r="L146">
        <f>IF(AND(H146="Leads", J146&lt;=0), "OVERDUE (IDLE)", IF(AND(H146="Leads", J146&lt;=14), "WARNING (3-14 Days)", IF(AND(H146="Prospect", J146&lt;=0), "PROSPECT EXPIRED", "SAFE / ON TRACK")))</f>
        <v/>
      </c>
    </row>
    <row r="147">
      <c r="A147" t="inlineStr">
        <is>
          <t>Fuji</t>
        </is>
      </c>
      <c r="B147" t="inlineStr"/>
      <c r="C147" t="inlineStr">
        <is>
          <t>Ravico</t>
        </is>
      </c>
      <c r="D147" t="inlineStr">
        <is>
          <t>LILIIN</t>
        </is>
      </c>
      <c r="E147" t="inlineStr">
        <is>
          <t>PT LIPPO LIFE INSURANCE</t>
        </is>
      </c>
      <c r="F147" t="inlineStr">
        <is>
          <t>S</t>
        </is>
      </c>
      <c r="G147" t="inlineStr">
        <is>
          <t>7.26.01583</t>
        </is>
      </c>
      <c r="H147" t="inlineStr">
        <is>
          <t>Leads</t>
        </is>
      </c>
      <c r="I147" t="n">
        <v>0</v>
      </c>
      <c r="J147" t="n">
        <v>115</v>
      </c>
      <c r="K147" t="inlineStr">
        <is>
          <t>Reach Truck 1.5 Ton (1 Unit) _ 1 Tahun _ Canvassing awal &amp; Sales Call</t>
        </is>
      </c>
      <c r="L147">
        <f>IF(AND(H147="Leads", J147&lt;=0), "OVERDUE (IDLE)", IF(AND(H147="Leads", J147&lt;=14), "WARNING (3-14 Days)", IF(AND(H147="Prospect", J147&lt;=0), "PROSPECT EXPIRED", "SAFE / ON TRACK")))</f>
        <v/>
      </c>
    </row>
    <row r="148">
      <c r="A148" t="inlineStr">
        <is>
          <t>Fuji</t>
        </is>
      </c>
      <c r="B148" t="inlineStr"/>
      <c r="C148" t="inlineStr">
        <is>
          <t>Ravico</t>
        </is>
      </c>
      <c r="D148" t="inlineStr">
        <is>
          <t>PRUDENTIAL</t>
        </is>
      </c>
      <c r="E148" t="inlineStr">
        <is>
          <t>PRUDENTIAL LIFE ASSURANCE</t>
        </is>
      </c>
      <c r="F148" t="inlineStr">
        <is>
          <t>L</t>
        </is>
      </c>
      <c r="G148" t="inlineStr">
        <is>
          <t>7.26.01586</t>
        </is>
      </c>
      <c r="H148" t="inlineStr">
        <is>
          <t>Leads</t>
        </is>
      </c>
      <c r="I148" t="n">
        <v>0</v>
      </c>
      <c r="J148" t="n">
        <v>115</v>
      </c>
      <c r="K148" t="inlineStr">
        <is>
          <t>Reach Truck 1.5 Ton (1 Unit) _ 1 Tahun _ Canvassing awal &amp; Sales Call</t>
        </is>
      </c>
      <c r="L148">
        <f>IF(AND(H148="Leads", J148&lt;=0), "OVERDUE (IDLE)", IF(AND(H148="Leads", J148&lt;=14), "WARNING (3-14 Days)", IF(AND(H148="Prospect", J148&lt;=0), "PROSPECT EXPIRED", "SAFE / ON TRACK")))</f>
        <v/>
      </c>
    </row>
    <row r="149">
      <c r="A149" t="inlineStr">
        <is>
          <t>Fuji</t>
        </is>
      </c>
      <c r="B149" t="inlineStr"/>
      <c r="C149" t="inlineStr">
        <is>
          <t>Ravico</t>
        </is>
      </c>
      <c r="D149" t="inlineStr">
        <is>
          <t>SURYAESA</t>
        </is>
      </c>
      <c r="E149" t="inlineStr">
        <is>
          <t>SURYA ESA PERKASA</t>
        </is>
      </c>
      <c r="F149" t="inlineStr"/>
      <c r="G149" t="inlineStr">
        <is>
          <t>7.26.01590</t>
        </is>
      </c>
      <c r="H149" t="inlineStr">
        <is>
          <t>Leads</t>
        </is>
      </c>
      <c r="I149" t="n">
        <v>0</v>
      </c>
      <c r="J149" t="n">
        <v>115</v>
      </c>
      <c r="K149" t="inlineStr">
        <is>
          <t>Reach Truck 1.5 Ton (1 Unit) _ 1 Tahun _ Canvassing awal &amp; Sales Call</t>
        </is>
      </c>
      <c r="L149">
        <f>IF(AND(H149="Leads", J149&lt;=0), "OVERDUE (IDLE)", IF(AND(H149="Leads", J149&lt;=14), "WARNING (3-14 Days)", IF(AND(H149="Prospect", J149&lt;=0), "PROSPECT EXPIRED", "SAFE / ON TRACK")))</f>
        <v/>
      </c>
    </row>
    <row r="150">
      <c r="A150" t="inlineStr">
        <is>
          <t>Fuji</t>
        </is>
      </c>
      <c r="B150" t="inlineStr"/>
      <c r="C150" t="inlineStr">
        <is>
          <t>Ravico</t>
        </is>
      </c>
      <c r="D150" t="inlineStr">
        <is>
          <t>SURYASAKTI</t>
        </is>
      </c>
      <c r="E150" t="inlineStr">
        <is>
          <t>SURYA SAKTI SUKSES</t>
        </is>
      </c>
      <c r="F150" t="inlineStr"/>
      <c r="G150" t="inlineStr">
        <is>
          <t>7.26.01591</t>
        </is>
      </c>
      <c r="H150" t="inlineStr">
        <is>
          <t>Leads</t>
        </is>
      </c>
      <c r="I150" t="n">
        <v>0</v>
      </c>
      <c r="J150" t="n">
        <v>115</v>
      </c>
      <c r="K150" t="inlineStr">
        <is>
          <t>Reach Truck 1.5 Ton (1 Unit) _ 1 Tahun _ Canvassing awal &amp; Sales Call</t>
        </is>
      </c>
      <c r="L150">
        <f>IF(AND(H150="Leads", J150&lt;=0), "OVERDUE (IDLE)", IF(AND(H150="Leads", J150&lt;=14), "WARNING (3-14 Days)", IF(AND(H150="Prospect", J150&lt;=0), "PROSPECT EXPIRED", "SAFE / ON TRACK")))</f>
        <v/>
      </c>
    </row>
    <row r="151">
      <c r="A151" t="inlineStr">
        <is>
          <t>Fuji</t>
        </is>
      </c>
      <c r="B151" t="inlineStr"/>
      <c r="C151" t="inlineStr">
        <is>
          <t>Ravico</t>
        </is>
      </c>
      <c r="D151" t="inlineStr">
        <is>
          <t>PJBMUKARAN</t>
        </is>
      </c>
      <c r="E151" t="inlineStr">
        <is>
          <t>PJB MUARA KARANG</t>
        </is>
      </c>
      <c r="F151" t="inlineStr"/>
      <c r="G151" t="inlineStr">
        <is>
          <t>7.26.01614</t>
        </is>
      </c>
      <c r="H151" t="inlineStr">
        <is>
          <t>Leads</t>
        </is>
      </c>
      <c r="I151" t="n">
        <v>0</v>
      </c>
      <c r="J151" t="n">
        <v>115</v>
      </c>
      <c r="K151" t="inlineStr">
        <is>
          <t>Reach Truck 1.5 Ton (1 Unit) _ 1 Tahun _ Canvassing awal &amp; Sales Call</t>
        </is>
      </c>
      <c r="L151">
        <f>IF(AND(H151="Leads", J151&lt;=0), "OVERDUE (IDLE)", IF(AND(H151="Leads", J151&lt;=14), "WARNING (3-14 Days)", IF(AND(H151="Prospect", J151&lt;=0), "PROSPECT EXPIRED", "SAFE / ON TRACK")))</f>
        <v/>
      </c>
    </row>
    <row r="152">
      <c r="A152" t="inlineStr">
        <is>
          <t>Fuji</t>
        </is>
      </c>
      <c r="B152" t="inlineStr"/>
      <c r="C152" t="inlineStr">
        <is>
          <t>Ravico</t>
        </is>
      </c>
      <c r="D152" t="inlineStr">
        <is>
          <t>SEMTAMA</t>
        </is>
      </c>
      <c r="E152" t="inlineStr">
        <is>
          <t>PT SEMANGAT MEDIATAMA</t>
        </is>
      </c>
      <c r="F152" t="inlineStr">
        <is>
          <t>M</t>
        </is>
      </c>
      <c r="G152" t="inlineStr">
        <is>
          <t>7.26.01621</t>
        </is>
      </c>
      <c r="H152" t="inlineStr">
        <is>
          <t>Leads</t>
        </is>
      </c>
      <c r="I152" t="n">
        <v>0</v>
      </c>
      <c r="J152" t="n">
        <v>115</v>
      </c>
      <c r="K152" t="inlineStr">
        <is>
          <t>Reach Truck 1.5 Ton (1 Unit) _ 1 Tahun _ Canvassing awal &amp; Sales Call</t>
        </is>
      </c>
      <c r="L152">
        <f>IF(AND(H152="Leads", J152&lt;=0), "OVERDUE (IDLE)", IF(AND(H152="Leads", J152&lt;=14), "WARNING (3-14 Days)", IF(AND(H152="Prospect", J152&lt;=0), "PROSPECT EXPIRED", "SAFE / ON TRACK")))</f>
        <v/>
      </c>
    </row>
    <row r="153">
      <c r="A153" t="inlineStr">
        <is>
          <t>Fuji</t>
        </is>
      </c>
      <c r="B153" t="inlineStr"/>
      <c r="C153" t="inlineStr">
        <is>
          <t>Ravico</t>
        </is>
      </c>
      <c r="D153" t="inlineStr">
        <is>
          <t>HAMON</t>
        </is>
      </c>
      <c r="E153" t="inlineStr">
        <is>
          <t>JOHN COCKERILL HAMON</t>
        </is>
      </c>
      <c r="F153" t="inlineStr">
        <is>
          <t>S</t>
        </is>
      </c>
      <c r="G153" t="inlineStr">
        <is>
          <t>7.26.01644</t>
        </is>
      </c>
      <c r="H153" t="inlineStr">
        <is>
          <t>Leads</t>
        </is>
      </c>
      <c r="I153" t="n">
        <v>0</v>
      </c>
      <c r="J153" t="n">
        <v>115</v>
      </c>
      <c r="K153" t="inlineStr">
        <is>
          <t>Reach Truck 1.5 Ton (1 Unit) _ 1 Tahun _ Canvassing awal &amp; Sales Call</t>
        </is>
      </c>
      <c r="L153">
        <f>IF(AND(H153="Leads", J153&lt;=0), "OVERDUE (IDLE)", IF(AND(H153="Leads", J153&lt;=14), "WARNING (3-14 Days)", IF(AND(H153="Prospect", J153&lt;=0), "PROSPECT EXPIRED", "SAFE / ON TRACK")))</f>
        <v/>
      </c>
    </row>
    <row r="154">
      <c r="A154" t="inlineStr">
        <is>
          <t>Fuji</t>
        </is>
      </c>
      <c r="B154" t="inlineStr"/>
      <c r="C154" t="inlineStr">
        <is>
          <t>Ravico</t>
        </is>
      </c>
      <c r="D154" t="inlineStr">
        <is>
          <t>VOKSEL</t>
        </is>
      </c>
      <c r="E154" t="inlineStr">
        <is>
          <t>PT VOKSEL ELEKTRIK TBK</t>
        </is>
      </c>
      <c r="F154" t="inlineStr">
        <is>
          <t>S</t>
        </is>
      </c>
      <c r="G154" t="inlineStr">
        <is>
          <t>7.26.01652</t>
        </is>
      </c>
      <c r="H154" t="inlineStr">
        <is>
          <t>Leads</t>
        </is>
      </c>
      <c r="I154" t="n">
        <v>0</v>
      </c>
      <c r="J154" t="n">
        <v>115</v>
      </c>
      <c r="K154" t="inlineStr">
        <is>
          <t>Reach Truck 1.5 Ton (1 Unit) _ 1 Tahun _ Canvassing awal &amp; Sales Call</t>
        </is>
      </c>
      <c r="L154">
        <f>IF(AND(H154="Leads", J154&lt;=0), "OVERDUE (IDLE)", IF(AND(H154="Leads", J154&lt;=14), "WARNING (3-14 Days)", IF(AND(H154="Prospect", J154&lt;=0), "PROSPECT EXPIRED", "SAFE / ON TRACK")))</f>
        <v/>
      </c>
    </row>
    <row r="155">
      <c r="A155" t="inlineStr">
        <is>
          <t>Fuji</t>
        </is>
      </c>
      <c r="B155" t="inlineStr"/>
      <c r="C155" t="inlineStr">
        <is>
          <t>Ravico</t>
        </is>
      </c>
      <c r="D155" t="inlineStr">
        <is>
          <t>COSLTD</t>
        </is>
      </c>
      <c r="E155" t="inlineStr">
        <is>
          <t>PT CHINA OILFIELD SERVICES LIMITED</t>
        </is>
      </c>
      <c r="F155" t="inlineStr">
        <is>
          <t>S</t>
        </is>
      </c>
      <c r="G155" t="inlineStr">
        <is>
          <t>7.26.01653</t>
        </is>
      </c>
      <c r="H155" t="inlineStr">
        <is>
          <t>Leads</t>
        </is>
      </c>
      <c r="I155" t="n">
        <v>0</v>
      </c>
      <c r="J155" t="n">
        <v>115</v>
      </c>
      <c r="K155" t="inlineStr">
        <is>
          <t>Reach Truck 1.5 Ton (1 Unit) _ 1 Tahun _ Canvassing awal &amp; Sales Call</t>
        </is>
      </c>
      <c r="L155">
        <f>IF(AND(H155="Leads", J155&lt;=0), "OVERDUE (IDLE)", IF(AND(H155="Leads", J155&lt;=14), "WARNING (3-14 Days)", IF(AND(H155="Prospect", J155&lt;=0), "PROSPECT EXPIRED", "SAFE / ON TRACK")))</f>
        <v/>
      </c>
    </row>
    <row r="156">
      <c r="A156" t="inlineStr">
        <is>
          <t>Fuji</t>
        </is>
      </c>
      <c r="B156" t="inlineStr"/>
      <c r="C156" t="inlineStr">
        <is>
          <t>Ravico</t>
        </is>
      </c>
      <c r="D156" t="inlineStr">
        <is>
          <t>SUMBERSEWA</t>
        </is>
      </c>
      <c r="E156" t="inlineStr">
        <is>
          <t>SUMBERDAYA SEWATAMA</t>
        </is>
      </c>
      <c r="F156" t="inlineStr"/>
      <c r="G156" t="inlineStr">
        <is>
          <t>7.26.01662</t>
        </is>
      </c>
      <c r="H156" t="inlineStr">
        <is>
          <t>Leads</t>
        </is>
      </c>
      <c r="I156" t="n">
        <v>0</v>
      </c>
      <c r="J156" t="n">
        <v>115</v>
      </c>
      <c r="K156" t="inlineStr">
        <is>
          <t>Reach Truck 1.5 Ton (1 Unit) _ 1 Tahun _ Canvassing awal &amp; Sales Call</t>
        </is>
      </c>
      <c r="L156">
        <f>IF(AND(H156="Leads", J156&lt;=0), "OVERDUE (IDLE)", IF(AND(H156="Leads", J156&lt;=14), "WARNING (3-14 Days)", IF(AND(H156="Prospect", J156&lt;=0), "PROSPECT EXPIRED", "SAFE / ON TRACK")))</f>
        <v/>
      </c>
    </row>
    <row r="157">
      <c r="A157" t="inlineStr">
        <is>
          <t>Fuji</t>
        </is>
      </c>
      <c r="B157" t="inlineStr"/>
      <c r="C157" t="inlineStr">
        <is>
          <t>Ravico</t>
        </is>
      </c>
      <c r="D157" t="inlineStr">
        <is>
          <t>KALE</t>
        </is>
      </c>
      <c r="E157" t="inlineStr">
        <is>
          <t>KALTIMEX ENERGY</t>
        </is>
      </c>
      <c r="F157" t="inlineStr">
        <is>
          <t>S</t>
        </is>
      </c>
      <c r="G157" t="inlineStr">
        <is>
          <t>7.26.01695</t>
        </is>
      </c>
      <c r="H157" t="inlineStr">
        <is>
          <t>Leads</t>
        </is>
      </c>
      <c r="I157" t="n">
        <v>0</v>
      </c>
      <c r="J157" t="n">
        <v>115</v>
      </c>
      <c r="K157" t="inlineStr">
        <is>
          <t>Reach Truck 1.5 Ton (1 Unit) _ 1 Tahun _ Canvassing awal &amp; Sales Call</t>
        </is>
      </c>
      <c r="L157">
        <f>IF(AND(H157="Leads", J157&lt;=0), "OVERDUE (IDLE)", IF(AND(H157="Leads", J157&lt;=14), "WARNING (3-14 Days)", IF(AND(H157="Prospect", J157&lt;=0), "PROSPECT EXPIRED", "SAFE / ON TRACK")))</f>
        <v/>
      </c>
    </row>
    <row r="158">
      <c r="A158" t="inlineStr">
        <is>
          <t>Fuji</t>
        </is>
      </c>
      <c r="B158" t="inlineStr"/>
      <c r="C158" t="inlineStr">
        <is>
          <t>Ravico</t>
        </is>
      </c>
      <c r="D158" t="inlineStr">
        <is>
          <t>MAHARUPAGA</t>
        </is>
      </c>
      <c r="E158" t="inlineStr">
        <is>
          <t>MAHARUPA GATRA</t>
        </is>
      </c>
      <c r="F158" t="inlineStr">
        <is>
          <t>L</t>
        </is>
      </c>
      <c r="G158" t="inlineStr">
        <is>
          <t>7.26.01721</t>
        </is>
      </c>
      <c r="H158" t="inlineStr">
        <is>
          <t>Leads</t>
        </is>
      </c>
      <c r="I158" t="n">
        <v>0</v>
      </c>
      <c r="J158" t="n">
        <v>115</v>
      </c>
      <c r="K158" t="inlineStr">
        <is>
          <t>Reach Truck 1.5 Ton (1 Unit) _ 1 Tahun _ Canvassing awal &amp; Sales Call</t>
        </is>
      </c>
      <c r="L158">
        <f>IF(AND(H158="Leads", J158&lt;=0), "OVERDUE (IDLE)", IF(AND(H158="Leads", J158&lt;=14), "WARNING (3-14 Days)", IF(AND(H158="Prospect", J158&lt;=0), "PROSPECT EXPIRED", "SAFE / ON TRACK")))</f>
        <v/>
      </c>
    </row>
    <row r="159">
      <c r="A159" t="inlineStr">
        <is>
          <t>Fuji</t>
        </is>
      </c>
      <c r="B159" t="inlineStr"/>
      <c r="C159" t="inlineStr">
        <is>
          <t>Ravico</t>
        </is>
      </c>
      <c r="D159" t="inlineStr">
        <is>
          <t>SEMBAT</t>
        </is>
      </c>
      <c r="E159" t="inlineStr">
        <is>
          <t>SEMEN BATURAJA</t>
        </is>
      </c>
      <c r="F159" t="inlineStr">
        <is>
          <t>L</t>
        </is>
      </c>
      <c r="G159" t="inlineStr">
        <is>
          <t>7.26.01724</t>
        </is>
      </c>
      <c r="H159" t="inlineStr">
        <is>
          <t>Leads</t>
        </is>
      </c>
      <c r="I159" t="n">
        <v>0</v>
      </c>
      <c r="J159" t="n">
        <v>115</v>
      </c>
      <c r="K159" t="inlineStr">
        <is>
          <t>Reach Truck 1.5 Ton (1 Unit) _ 1 Tahun _ Canvassing awal &amp; Sales Call</t>
        </is>
      </c>
      <c r="L159">
        <f>IF(AND(H159="Leads", J159&lt;=0), "OVERDUE (IDLE)", IF(AND(H159="Leads", J159&lt;=14), "WARNING (3-14 Days)", IF(AND(H159="Prospect", J159&lt;=0), "PROSPECT EXPIRED", "SAFE / ON TRACK")))</f>
        <v/>
      </c>
    </row>
    <row r="160">
      <c r="A160" t="inlineStr">
        <is>
          <t>Fuji</t>
        </is>
      </c>
      <c r="B160" t="inlineStr"/>
      <c r="C160" t="inlineStr">
        <is>
          <t>Ravico</t>
        </is>
      </c>
      <c r="D160" t="inlineStr">
        <is>
          <t>SOLVAY</t>
        </is>
      </c>
      <c r="E160" t="inlineStr">
        <is>
          <t>SOLVAY MANYAR</t>
        </is>
      </c>
      <c r="F160" t="inlineStr"/>
      <c r="G160" t="inlineStr">
        <is>
          <t>7.26.01728</t>
        </is>
      </c>
      <c r="H160" t="inlineStr">
        <is>
          <t>Leads</t>
        </is>
      </c>
      <c r="I160" t="n">
        <v>0</v>
      </c>
      <c r="J160" t="n">
        <v>115</v>
      </c>
      <c r="K160" t="inlineStr">
        <is>
          <t>Reach Truck 1.5 Ton (1 Unit) _ 1 Tahun _ Canvassing awal &amp; Sales Call</t>
        </is>
      </c>
      <c r="L160">
        <f>IF(AND(H160="Leads", J160&lt;=0), "OVERDUE (IDLE)", IF(AND(H160="Leads", J160&lt;=14), "WARNING (3-14 Days)", IF(AND(H160="Prospect", J160&lt;=0), "PROSPECT EXPIRED", "SAFE / ON TRACK")))</f>
        <v/>
      </c>
    </row>
    <row r="161">
      <c r="A161" t="inlineStr">
        <is>
          <t>Fuji</t>
        </is>
      </c>
      <c r="B161" t="inlineStr"/>
      <c r="C161" t="inlineStr">
        <is>
          <t>Ravico</t>
        </is>
      </c>
      <c r="D161" t="inlineStr">
        <is>
          <t>CENTEX</t>
        </is>
      </c>
      <c r="E161" t="inlineStr">
        <is>
          <t>CENTEX</t>
        </is>
      </c>
      <c r="F161" t="inlineStr"/>
      <c r="G161" t="inlineStr">
        <is>
          <t>7.26.01729</t>
        </is>
      </c>
      <c r="H161" t="inlineStr">
        <is>
          <t>Leads</t>
        </is>
      </c>
      <c r="I161" t="n">
        <v>0</v>
      </c>
      <c r="J161" t="n">
        <v>115</v>
      </c>
      <c r="K161" t="inlineStr">
        <is>
          <t>Reach Truck 1.5 Ton (1 Unit) _ 1 Tahun _ Canvassing awal &amp; Sales Call</t>
        </is>
      </c>
      <c r="L161">
        <f>IF(AND(H161="Leads", J161&lt;=0), "OVERDUE (IDLE)", IF(AND(H161="Leads", J161&lt;=14), "WARNING (3-14 Days)", IF(AND(H161="Prospect", J161&lt;=0), "PROSPECT EXPIRED", "SAFE / ON TRACK")))</f>
        <v/>
      </c>
    </row>
    <row r="162">
      <c r="A162" t="inlineStr">
        <is>
          <t>Fuji</t>
        </is>
      </c>
      <c r="B162" t="inlineStr"/>
      <c r="C162" t="inlineStr">
        <is>
          <t>Ravico</t>
        </is>
      </c>
      <c r="D162" t="inlineStr">
        <is>
          <t>HERBALINSA</t>
        </is>
      </c>
      <c r="E162" t="inlineStr">
        <is>
          <t>HERBAL INSANI</t>
        </is>
      </c>
      <c r="F162" t="inlineStr">
        <is>
          <t>S</t>
        </is>
      </c>
      <c r="G162" t="inlineStr">
        <is>
          <t>7.26.01737</t>
        </is>
      </c>
      <c r="H162" t="inlineStr">
        <is>
          <t>Leads</t>
        </is>
      </c>
      <c r="I162" t="n">
        <v>0</v>
      </c>
      <c r="J162" t="n">
        <v>115</v>
      </c>
      <c r="K162" t="inlineStr">
        <is>
          <t>Reach Truck 1.5 Ton (1 Unit) _ 1 Tahun _ Canvassing awal &amp; Sales Call</t>
        </is>
      </c>
      <c r="L162">
        <f>IF(AND(H162="Leads", J162&lt;=0), "OVERDUE (IDLE)", IF(AND(H162="Leads", J162&lt;=14), "WARNING (3-14 Days)", IF(AND(H162="Prospect", J162&lt;=0), "PROSPECT EXPIRED", "SAFE / ON TRACK")))</f>
        <v/>
      </c>
    </row>
    <row r="163">
      <c r="A163" t="inlineStr">
        <is>
          <t>Fuji</t>
        </is>
      </c>
      <c r="B163" t="inlineStr"/>
      <c r="C163" t="inlineStr">
        <is>
          <t>Ravico</t>
        </is>
      </c>
      <c r="D163" t="inlineStr">
        <is>
          <t>REVASS</t>
        </is>
      </c>
      <c r="E163" t="inlineStr">
        <is>
          <t>PT REVASS UTAMA MEDIKA</t>
        </is>
      </c>
      <c r="F163" t="inlineStr">
        <is>
          <t>M</t>
        </is>
      </c>
      <c r="G163" t="inlineStr">
        <is>
          <t>7.26.01748</t>
        </is>
      </c>
      <c r="H163" t="inlineStr">
        <is>
          <t>Prospect</t>
        </is>
      </c>
      <c r="I163" t="n">
        <v>26</v>
      </c>
      <c r="J163" t="n">
        <v>206</v>
      </c>
      <c r="K163" t="inlineStr">
        <is>
          <t>Forklift 3 Ton (2 Unit) _ 2 Tahun _ SPH Dikirim ke User</t>
        </is>
      </c>
      <c r="L163">
        <f>IF(AND(H163="Leads", J163&lt;=0), "OVERDUE (IDLE)", IF(AND(H163="Leads", J163&lt;=14), "WARNING (3-14 Days)", IF(AND(H163="Prospect", J163&lt;=0), "PROSPECT EXPIRED", "SAFE / ON TRACK")))</f>
        <v/>
      </c>
    </row>
    <row r="164">
      <c r="A164" t="inlineStr">
        <is>
          <t>Fuji</t>
        </is>
      </c>
      <c r="B164" t="inlineStr"/>
      <c r="C164" t="inlineStr">
        <is>
          <t>Ravico</t>
        </is>
      </c>
      <c r="D164" t="inlineStr">
        <is>
          <t>SENFUPT</t>
        </is>
      </c>
      <c r="E164" t="inlineStr">
        <is>
          <t>PT SENOPATI FUJITRANS LOGISTIC</t>
        </is>
      </c>
      <c r="F164" t="inlineStr">
        <is>
          <t>M</t>
        </is>
      </c>
      <c r="G164" t="inlineStr">
        <is>
          <t>7.26.01820</t>
        </is>
      </c>
      <c r="H164" t="inlineStr">
        <is>
          <t>Leads</t>
        </is>
      </c>
      <c r="I164" t="n">
        <v>0</v>
      </c>
      <c r="J164" t="n">
        <v>180</v>
      </c>
      <c r="K164" t="inlineStr">
        <is>
          <t>Reach Truck 1.5 Ton (1 Unit) _ 1 Tahun _ Canvassing awal &amp; Sales Call</t>
        </is>
      </c>
      <c r="L164">
        <f>IF(AND(H164="Leads", J164&lt;=0), "OVERDUE (IDLE)", IF(AND(H164="Leads", J164&lt;=14), "WARNING (3-14 Days)", IF(AND(H164="Prospect", J164&lt;=0), "PROSPECT EXPIRED", "SAFE / ON TRACK")))</f>
        <v/>
      </c>
    </row>
    <row r="165">
      <c r="A165" t="inlineStr">
        <is>
          <t>Fuji</t>
        </is>
      </c>
      <c r="B165" t="inlineStr"/>
      <c r="C165" t="inlineStr">
        <is>
          <t>Ravico</t>
        </is>
      </c>
      <c r="D165" t="inlineStr">
        <is>
          <t>IPE</t>
        </is>
      </c>
      <c r="E165" t="inlineStr">
        <is>
          <t>PT INDONESIA PRIMA EQUIPMENT</t>
        </is>
      </c>
      <c r="F165" t="inlineStr">
        <is>
          <t>L</t>
        </is>
      </c>
      <c r="G165" t="inlineStr">
        <is>
          <t>7.26.01821</t>
        </is>
      </c>
      <c r="H165" t="inlineStr">
        <is>
          <t>Leads</t>
        </is>
      </c>
      <c r="I165" t="n">
        <v>0</v>
      </c>
      <c r="J165" t="n">
        <v>120</v>
      </c>
      <c r="K165" t="inlineStr">
        <is>
          <t>Reach Truck 1.5 Ton (1 Unit) _ 1 Tahun _ Canvassing awal &amp; Sales Call</t>
        </is>
      </c>
      <c r="L165">
        <f>IF(AND(H165="Leads", J165&lt;=0), "OVERDUE (IDLE)", IF(AND(H165="Leads", J165&lt;=14), "WARNING (3-14 Days)", IF(AND(H165="Prospect", J165&lt;=0), "PROSPECT EXPIRED", "SAFE / ON TRACK")))</f>
        <v/>
      </c>
    </row>
    <row r="166">
      <c r="A166" t="inlineStr">
        <is>
          <t>Fuji</t>
        </is>
      </c>
      <c r="B166" t="inlineStr"/>
      <c r="C166" t="inlineStr">
        <is>
          <t>Ravico</t>
        </is>
      </c>
      <c r="D166" t="inlineStr">
        <is>
          <t>SUKUNKUDUS</t>
        </is>
      </c>
      <c r="E166" t="inlineStr">
        <is>
          <t>PT SUKUN WARTONO INDONESIA</t>
        </is>
      </c>
      <c r="F166" t="inlineStr">
        <is>
          <t>L</t>
        </is>
      </c>
      <c r="G166" t="inlineStr">
        <is>
          <t>7.26.01826</t>
        </is>
      </c>
      <c r="H166" t="inlineStr">
        <is>
          <t>Leads</t>
        </is>
      </c>
      <c r="I166" t="n">
        <v>0</v>
      </c>
      <c r="J166" t="n">
        <v>180</v>
      </c>
      <c r="K166" t="inlineStr">
        <is>
          <t>Reach Truck 1.5 Ton (1 Unit) _ 1 Tahun _ Canvassing awal &amp; Sales Call</t>
        </is>
      </c>
      <c r="L166">
        <f>IF(AND(H166="Leads", J166&lt;=0), "OVERDUE (IDLE)", IF(AND(H166="Leads", J166&lt;=14), "WARNING (3-14 Days)", IF(AND(H166="Prospect", J166&lt;=0), "PROSPECT EXPIRED", "SAFE / ON TRACK")))</f>
        <v/>
      </c>
    </row>
    <row r="167">
      <c r="A167" t="inlineStr">
        <is>
          <t>Fuji</t>
        </is>
      </c>
      <c r="B167" t="inlineStr"/>
      <c r="C167" t="inlineStr">
        <is>
          <t>Ravico</t>
        </is>
      </c>
      <c r="D167" t="inlineStr">
        <is>
          <t>DARYA</t>
        </is>
      </c>
      <c r="E167" t="inlineStr">
        <is>
          <t>PT DARYA-VARIA LABORATORIA TBK</t>
        </is>
      </c>
      <c r="F167" t="inlineStr">
        <is>
          <t>L</t>
        </is>
      </c>
      <c r="G167" t="inlineStr">
        <is>
          <t>7.26.01827</t>
        </is>
      </c>
      <c r="H167" t="inlineStr">
        <is>
          <t>Prospect</t>
        </is>
      </c>
      <c r="I167" t="n">
        <v>51</v>
      </c>
      <c r="J167" t="n">
        <v>231</v>
      </c>
      <c r="K167" t="inlineStr">
        <is>
          <t>Forklift 3 Ton (2 Unit) _ 2 Tahun _ SPH Dikirim ke User</t>
        </is>
      </c>
      <c r="L167">
        <f>IF(AND(H167="Leads", J167&lt;=0), "OVERDUE (IDLE)", IF(AND(H167="Leads", J167&lt;=14), "WARNING (3-14 Days)", IF(AND(H167="Prospect", J167&lt;=0), "PROSPECT EXPIRED", "SAFE / ON TRACK")))</f>
        <v/>
      </c>
    </row>
    <row r="168">
      <c r="A168" t="inlineStr">
        <is>
          <t>Fuji</t>
        </is>
      </c>
      <c r="B168" t="inlineStr"/>
      <c r="C168" t="inlineStr">
        <is>
          <t>Ravico</t>
        </is>
      </c>
      <c r="D168" t="inlineStr">
        <is>
          <t>PENCHEM</t>
        </is>
      </c>
      <c r="E168" t="inlineStr">
        <is>
          <t>PT PENTA CHEMICALS INDONESIA</t>
        </is>
      </c>
      <c r="F168" t="inlineStr">
        <is>
          <t>L</t>
        </is>
      </c>
      <c r="G168" t="inlineStr">
        <is>
          <t>7.26.01834</t>
        </is>
      </c>
      <c r="H168" t="inlineStr">
        <is>
          <t>Prospect</t>
        </is>
      </c>
      <c r="I168" t="n">
        <v>47</v>
      </c>
      <c r="J168" t="n">
        <v>227</v>
      </c>
      <c r="K168" t="inlineStr">
        <is>
          <t>Forklift 3 Ton (2 Unit) _ 2 Tahun _ SPH Dikirim ke User</t>
        </is>
      </c>
      <c r="L168">
        <f>IF(AND(H168="Leads", J168&lt;=0), "OVERDUE (IDLE)", IF(AND(H168="Leads", J168&lt;=14), "WARNING (3-14 Days)", IF(AND(H168="Prospect", J168&lt;=0), "PROSPECT EXPIRED", "SAFE / ON TRACK")))</f>
        <v/>
      </c>
    </row>
    <row r="169">
      <c r="A169" t="inlineStr">
        <is>
          <t>Fuji</t>
        </is>
      </c>
      <c r="B169" t="inlineStr"/>
      <c r="C169" t="inlineStr">
        <is>
          <t>Ravico</t>
        </is>
      </c>
      <c r="D169" t="inlineStr">
        <is>
          <t>APWI</t>
        </is>
      </c>
      <c r="E169" t="inlineStr">
        <is>
          <t>PT ACWA POWER INDONESIA</t>
        </is>
      </c>
      <c r="F169" t="inlineStr">
        <is>
          <t>L</t>
        </is>
      </c>
      <c r="G169" t="inlineStr">
        <is>
          <t>7.26.01835</t>
        </is>
      </c>
      <c r="H169" t="inlineStr">
        <is>
          <t>Leads</t>
        </is>
      </c>
      <c r="I169" t="n">
        <v>0</v>
      </c>
      <c r="J169" t="n">
        <v>180</v>
      </c>
      <c r="K169" t="inlineStr">
        <is>
          <t>Reach Truck 1.5 Ton (1 Unit) _ 1 Tahun _ Canvassing awal &amp; Sales Call</t>
        </is>
      </c>
      <c r="L169">
        <f>IF(AND(H169="Leads", J169&lt;=0), "OVERDUE (IDLE)", IF(AND(H169="Leads", J169&lt;=14), "WARNING (3-14 Days)", IF(AND(H169="Prospect", J169&lt;=0), "PROSPECT EXPIRED", "SAFE / ON TRACK")))</f>
        <v/>
      </c>
    </row>
    <row r="170">
      <c r="A170" t="inlineStr">
        <is>
          <t>Fuji</t>
        </is>
      </c>
      <c r="B170" t="inlineStr"/>
      <c r="C170" t="inlineStr">
        <is>
          <t>Ravico</t>
        </is>
      </c>
      <c r="D170" t="inlineStr">
        <is>
          <t>MARTYA</t>
        </is>
      </c>
      <c r="E170" t="inlineStr">
        <is>
          <t>MARTYA CHRISTINA</t>
        </is>
      </c>
      <c r="F170" t="inlineStr">
        <is>
          <t>S</t>
        </is>
      </c>
      <c r="G170" t="inlineStr">
        <is>
          <t>7.26.01852</t>
        </is>
      </c>
      <c r="H170" t="inlineStr">
        <is>
          <t>Prospect</t>
        </is>
      </c>
      <c r="I170" t="n">
        <v>72</v>
      </c>
      <c r="J170" t="n">
        <v>252</v>
      </c>
      <c r="K170" t="inlineStr">
        <is>
          <t>Forklift 3 Ton (2 Unit) _ 2 Tahun _ SPH Dikirim ke User</t>
        </is>
      </c>
      <c r="L170">
        <f>IF(AND(H170="Leads", J170&lt;=0), "OVERDUE (IDLE)", IF(AND(H170="Leads", J170&lt;=14), "WARNING (3-14 Days)", IF(AND(H170="Prospect", J170&lt;=0), "PROSPECT EXPIRED", "SAFE / ON TRACK")))</f>
        <v/>
      </c>
    </row>
    <row r="171">
      <c r="A171" t="inlineStr">
        <is>
          <t>Fuji</t>
        </is>
      </c>
      <c r="B171" t="inlineStr"/>
      <c r="C171" t="inlineStr">
        <is>
          <t>Ravico</t>
        </is>
      </c>
      <c r="D171" t="inlineStr">
        <is>
          <t>FAUSTINA</t>
        </is>
      </c>
      <c r="E171" t="inlineStr">
        <is>
          <t>FAUSTINA</t>
        </is>
      </c>
      <c r="F171" t="inlineStr">
        <is>
          <t>S</t>
        </is>
      </c>
      <c r="G171" t="inlineStr">
        <is>
          <t>7.26.01853</t>
        </is>
      </c>
      <c r="H171" t="inlineStr">
        <is>
          <t>Prospect</t>
        </is>
      </c>
      <c r="I171" t="n">
        <v>72</v>
      </c>
      <c r="J171" t="n">
        <v>252</v>
      </c>
      <c r="K171" t="inlineStr">
        <is>
          <t>Forklift 3 Ton (2 Unit) _ 2 Tahun _ SPH Dikirim ke User</t>
        </is>
      </c>
      <c r="L171">
        <f>IF(AND(H171="Leads", J171&lt;=0), "OVERDUE (IDLE)", IF(AND(H171="Leads", J171&lt;=14), "WARNING (3-14 Days)", IF(AND(H171="Prospect", J171&lt;=0), "PROSPECT EXPIRED", "SAFE / ON TRACK")))</f>
        <v/>
      </c>
    </row>
    <row r="172">
      <c r="A172" t="inlineStr">
        <is>
          <t>Fuji</t>
        </is>
      </c>
      <c r="B172" t="inlineStr"/>
      <c r="C172" t="inlineStr">
        <is>
          <t>Ravico</t>
        </is>
      </c>
      <c r="D172" t="inlineStr">
        <is>
          <t>IASS</t>
        </is>
      </c>
      <c r="E172" t="inlineStr">
        <is>
          <t>PT IAS SUPPORT INDONESIA</t>
        </is>
      </c>
      <c r="F172" t="inlineStr">
        <is>
          <t>M</t>
        </is>
      </c>
      <c r="G172" t="inlineStr">
        <is>
          <t>7.26.01860</t>
        </is>
      </c>
      <c r="H172" t="inlineStr">
        <is>
          <t>Prospect</t>
        </is>
      </c>
      <c r="I172" t="n">
        <v>78</v>
      </c>
      <c r="J172" t="n">
        <v>258</v>
      </c>
      <c r="K172" t="inlineStr">
        <is>
          <t>Forklift 3 Ton (2 Unit) _ 2 Tahun _ SPH Dikirim ke User</t>
        </is>
      </c>
      <c r="L172">
        <f>IF(AND(H172="Leads", J172&lt;=0), "OVERDUE (IDLE)", IF(AND(H172="Leads", J172&lt;=14), "WARNING (3-14 Days)", IF(AND(H172="Prospect", J172&lt;=0), "PROSPECT EXPIRED", "SAFE / ON TRACK")))</f>
        <v/>
      </c>
    </row>
    <row r="173">
      <c r="A173" t="inlineStr">
        <is>
          <t>Fuji</t>
        </is>
      </c>
      <c r="B173" t="inlineStr"/>
      <c r="C173" t="inlineStr">
        <is>
          <t>Ravico</t>
        </is>
      </c>
      <c r="D173" t="inlineStr">
        <is>
          <t>CEKINDO</t>
        </is>
      </c>
      <c r="E173" t="inlineStr">
        <is>
          <t>PT CEKINDO BUSINESS INTERNATIONAL</t>
        </is>
      </c>
      <c r="F173" t="inlineStr">
        <is>
          <t>M</t>
        </is>
      </c>
      <c r="G173" t="inlineStr">
        <is>
          <t>7.26.01862</t>
        </is>
      </c>
      <c r="H173" t="inlineStr">
        <is>
          <t>Prospect</t>
        </is>
      </c>
      <c r="I173" t="n">
        <v>79</v>
      </c>
      <c r="J173" t="n">
        <v>259</v>
      </c>
      <c r="K173" t="inlineStr">
        <is>
          <t>Forklift 3 Ton (2 Unit) _ 2 Tahun _ SPH Dikirim ke User</t>
        </is>
      </c>
      <c r="L173">
        <f>IF(AND(H173="Leads", J173&lt;=0), "OVERDUE (IDLE)", IF(AND(H173="Leads", J173&lt;=14), "WARNING (3-14 Days)", IF(AND(H173="Prospect", J173&lt;=0), "PROSPECT EXPIRED", "SAFE / ON TRACK")))</f>
        <v/>
      </c>
    </row>
    <row r="174">
      <c r="A174" t="inlineStr">
        <is>
          <t>Fuji</t>
        </is>
      </c>
      <c r="B174" t="inlineStr"/>
      <c r="C174" t="inlineStr">
        <is>
          <t>Ravico</t>
        </is>
      </c>
      <c r="D174" t="inlineStr">
        <is>
          <t>VISINDO</t>
        </is>
      </c>
      <c r="E174" t="inlineStr">
        <is>
          <t>PT VISINDO MEDIKA UTAMA</t>
        </is>
      </c>
      <c r="F174" t="inlineStr">
        <is>
          <t>S</t>
        </is>
      </c>
      <c r="G174" t="inlineStr">
        <is>
          <t>7.26.01863</t>
        </is>
      </c>
      <c r="H174" t="inlineStr">
        <is>
          <t>Leads</t>
        </is>
      </c>
      <c r="I174" t="n">
        <v>0</v>
      </c>
      <c r="J174" t="n">
        <v>170</v>
      </c>
      <c r="K174" t="inlineStr">
        <is>
          <t>Reach Truck 1.5 Ton (1 Unit) _ 1 Tahun _ Canvassing awal &amp; Sales Call</t>
        </is>
      </c>
      <c r="L174">
        <f>IF(AND(H174="Leads", J174&lt;=0), "OVERDUE (IDLE)", IF(AND(H174="Leads", J174&lt;=14), "WARNING (3-14 Days)", IF(AND(H174="Prospect", J174&lt;=0), "PROSPECT EXPIRED", "SAFE / ON TRACK")))</f>
        <v/>
      </c>
    </row>
    <row r="175">
      <c r="A175" t="inlineStr">
        <is>
          <t>Fuji</t>
        </is>
      </c>
      <c r="B175" t="inlineStr"/>
      <c r="C175" t="inlineStr">
        <is>
          <t>Ravico</t>
        </is>
      </c>
      <c r="D175" t="inlineStr">
        <is>
          <t>XINHAI</t>
        </is>
      </c>
      <c r="E175" t="inlineStr">
        <is>
          <t>PT INDONESIA XIN HAI STEEL STRUCTURE</t>
        </is>
      </c>
      <c r="F175" t="inlineStr">
        <is>
          <t>L</t>
        </is>
      </c>
      <c r="G175" t="inlineStr">
        <is>
          <t>7.26.01871</t>
        </is>
      </c>
      <c r="H175" t="inlineStr">
        <is>
          <t>Prospect</t>
        </is>
      </c>
      <c r="I175" t="n">
        <v>85</v>
      </c>
      <c r="J175" t="n">
        <v>265</v>
      </c>
      <c r="K175" t="inlineStr">
        <is>
          <t>Forklift 3 Ton (2 Unit) _ 2 Tahun _ SPH Dikirim ke User</t>
        </is>
      </c>
      <c r="L175">
        <f>IF(AND(H175="Leads", J175&lt;=0), "OVERDUE (IDLE)", IF(AND(H175="Leads", J175&lt;=14), "WARNING (3-14 Days)", IF(AND(H175="Prospect", J175&lt;=0), "PROSPECT EXPIRED", "SAFE / ON TRACK")))</f>
        <v/>
      </c>
    </row>
    <row r="176">
      <c r="A176" t="inlineStr">
        <is>
          <t>Fuji</t>
        </is>
      </c>
      <c r="B176" t="inlineStr"/>
      <c r="C176" t="inlineStr">
        <is>
          <t>Ravico</t>
        </is>
      </c>
      <c r="D176" t="inlineStr">
        <is>
          <t>KAIWISATA</t>
        </is>
      </c>
      <c r="E176" t="inlineStr">
        <is>
          <t>PT KERETA API PARIWISATA</t>
        </is>
      </c>
      <c r="F176" t="inlineStr">
        <is>
          <t>L</t>
        </is>
      </c>
      <c r="G176" t="inlineStr">
        <is>
          <t>7.26.01879</t>
        </is>
      </c>
      <c r="H176" t="inlineStr">
        <is>
          <t>Leads</t>
        </is>
      </c>
      <c r="I176" t="n">
        <v>0</v>
      </c>
      <c r="J176" t="n">
        <v>177</v>
      </c>
      <c r="K176" t="inlineStr">
        <is>
          <t>Reach Truck 1.5 Ton (1 Unit) _ 1 Tahun _ Canvassing awal &amp; Sales Call</t>
        </is>
      </c>
      <c r="L176">
        <f>IF(AND(H176="Leads", J176&lt;=0), "OVERDUE (IDLE)", IF(AND(H176="Leads", J176&lt;=14), "WARNING (3-14 Days)", IF(AND(H176="Prospect", J176&lt;=0), "PROSPECT EXPIRED", "SAFE / ON TRACK")))</f>
        <v/>
      </c>
    </row>
    <row r="177">
      <c r="A177" t="inlineStr">
        <is>
          <t>Fuji</t>
        </is>
      </c>
      <c r="B177" t="inlineStr"/>
      <c r="C177" t="inlineStr">
        <is>
          <t>Ravico</t>
        </is>
      </c>
      <c r="D177" t="inlineStr">
        <is>
          <t>INTEGRATED</t>
        </is>
      </c>
      <c r="E177" t="inlineStr">
        <is>
          <t>PT INTEGRATED SYNERGY SYSTEM</t>
        </is>
      </c>
      <c r="F177" t="inlineStr">
        <is>
          <t>M</t>
        </is>
      </c>
      <c r="G177" t="inlineStr">
        <is>
          <t>7.26.01882</t>
        </is>
      </c>
      <c r="H177" t="inlineStr">
        <is>
          <t>Leads</t>
        </is>
      </c>
      <c r="I177" t="n">
        <v>0</v>
      </c>
      <c r="J177" t="n">
        <v>180</v>
      </c>
      <c r="K177" t="inlineStr">
        <is>
          <t>Reach Truck 1.5 Ton (1 Unit) _ 1 Tahun _ Canvassing awal &amp; Sales Call</t>
        </is>
      </c>
      <c r="L177">
        <f>IF(AND(H177="Leads", J177&lt;=0), "OVERDUE (IDLE)", IF(AND(H177="Leads", J177&lt;=14), "WARNING (3-14 Days)", IF(AND(H177="Prospect", J177&lt;=0), "PROSPECT EXPIRED", "SAFE / ON TRACK")))</f>
        <v/>
      </c>
    </row>
    <row r="178">
      <c r="A178" t="inlineStr">
        <is>
          <t>Fuji</t>
        </is>
      </c>
      <c r="B178" t="inlineStr"/>
      <c r="C178" t="inlineStr">
        <is>
          <t>Andreas</t>
        </is>
      </c>
      <c r="D178" t="inlineStr">
        <is>
          <t>NEXCO</t>
        </is>
      </c>
      <c r="E178" t="inlineStr">
        <is>
          <t>NEXCO INDONESIA</t>
        </is>
      </c>
      <c r="F178" t="inlineStr"/>
      <c r="G178" t="inlineStr">
        <is>
          <t>3.24.00413</t>
        </is>
      </c>
      <c r="H178" t="inlineStr">
        <is>
          <t>Prospect</t>
        </is>
      </c>
      <c r="I178" t="n">
        <v>90</v>
      </c>
      <c r="J178" t="n">
        <v>270</v>
      </c>
      <c r="K178" t="inlineStr">
        <is>
          <t>Forklift 3 Ton (2 Unit) _ 2 Tahun _ SPH Dikirim ke User</t>
        </is>
      </c>
      <c r="L178">
        <f>IF(AND(H178="Leads", J178&lt;=0), "OVERDUE (IDLE)", IF(AND(H178="Leads", J178&lt;=14), "WARNING (3-14 Days)", IF(AND(H178="Prospect", J178&lt;=0), "PROSPECT EXPIRED", "SAFE / ON TRACK")))</f>
        <v/>
      </c>
    </row>
    <row r="179">
      <c r="A179" t="inlineStr">
        <is>
          <t>Fuji</t>
        </is>
      </c>
      <c r="B179" t="inlineStr"/>
      <c r="C179" t="inlineStr">
        <is>
          <t>Andreas</t>
        </is>
      </c>
      <c r="D179" t="inlineStr">
        <is>
          <t>LCI</t>
        </is>
      </c>
      <c r="E179" t="inlineStr">
        <is>
          <t>PT LEIGHTON CONTRACTORS INDONESIA</t>
        </is>
      </c>
      <c r="F179" t="inlineStr">
        <is>
          <t>M</t>
        </is>
      </c>
      <c r="G179" t="inlineStr">
        <is>
          <t>3.25.00044</t>
        </is>
      </c>
      <c r="H179" t="inlineStr">
        <is>
          <t>Leads</t>
        </is>
      </c>
      <c r="I179" t="n">
        <v>0</v>
      </c>
      <c r="J179" t="n">
        <v>-440</v>
      </c>
      <c r="K179" t="inlineStr">
        <is>
          <t>Reach Truck 1.5 Ton (1 Unit) _ 1 Tahun _ Canvassing awal &amp; Sales Call</t>
        </is>
      </c>
      <c r="L179">
        <f>IF(AND(H179="Leads", J179&lt;=0), "OVERDUE (IDLE)", IF(AND(H179="Leads", J179&lt;=14), "WARNING (3-14 Days)", IF(AND(H179="Prospect", J179&lt;=0), "PROSPECT EXPIRED", "SAFE / ON TRACK")))</f>
        <v/>
      </c>
    </row>
    <row r="180">
      <c r="A180" t="inlineStr">
        <is>
          <t>Fuji</t>
        </is>
      </c>
      <c r="B180" t="inlineStr"/>
      <c r="C180" t="inlineStr">
        <is>
          <t>Andreas</t>
        </is>
      </c>
      <c r="D180" t="inlineStr">
        <is>
          <t>ASI</t>
        </is>
      </c>
      <c r="E180" t="inlineStr">
        <is>
          <t>AMERICAN STANDARD INDONESIA</t>
        </is>
      </c>
      <c r="F180" t="inlineStr"/>
      <c r="G180" t="inlineStr">
        <is>
          <t>3.25.00116</t>
        </is>
      </c>
      <c r="H180" t="inlineStr">
        <is>
          <t>Leads</t>
        </is>
      </c>
      <c r="I180" t="n">
        <v>0</v>
      </c>
      <c r="J180" t="n">
        <v>-314</v>
      </c>
      <c r="K180" t="inlineStr">
        <is>
          <t>Reach Truck 1.5 Ton (1 Unit) _ 1 Tahun _ Canvassing awal &amp; Sales Call</t>
        </is>
      </c>
      <c r="L180">
        <f>IF(AND(H180="Leads", J180&lt;=0), "OVERDUE (IDLE)", IF(AND(H180="Leads", J180&lt;=14), "WARNING (3-14 Days)", IF(AND(H180="Prospect", J180&lt;=0), "PROSPECT EXPIRED", "SAFE / ON TRACK")))</f>
        <v/>
      </c>
    </row>
    <row r="181">
      <c r="A181" t="inlineStr">
        <is>
          <t>Fuji</t>
        </is>
      </c>
      <c r="B181" t="inlineStr"/>
      <c r="C181" t="inlineStr">
        <is>
          <t>Andreas</t>
        </is>
      </c>
      <c r="D181" t="inlineStr">
        <is>
          <t>MASSINDO</t>
        </is>
      </c>
      <c r="E181" t="inlineStr">
        <is>
          <t>MASSINDO INTERNATIONAL</t>
        </is>
      </c>
      <c r="F181" t="inlineStr"/>
      <c r="G181" t="inlineStr">
        <is>
          <t>3.25.00128</t>
        </is>
      </c>
      <c r="H181" t="inlineStr">
        <is>
          <t>Leads</t>
        </is>
      </c>
      <c r="I181" t="n">
        <v>0</v>
      </c>
      <c r="J181" t="n">
        <v>-412</v>
      </c>
      <c r="K181" t="inlineStr">
        <is>
          <t>Reach Truck 1.5 Ton (1 Unit) _ 1 Tahun _ Canvassing awal &amp; Sales Call</t>
        </is>
      </c>
      <c r="L181">
        <f>IF(AND(H181="Leads", J181&lt;=0), "OVERDUE (IDLE)", IF(AND(H181="Leads", J181&lt;=14), "WARNING (3-14 Days)", IF(AND(H181="Prospect", J181&lt;=0), "PROSPECT EXPIRED", "SAFE / ON TRACK")))</f>
        <v/>
      </c>
    </row>
    <row r="182">
      <c r="A182" t="inlineStr">
        <is>
          <t>Fuji</t>
        </is>
      </c>
      <c r="B182" t="inlineStr"/>
      <c r="C182" t="inlineStr">
        <is>
          <t>Andreas</t>
        </is>
      </c>
      <c r="D182" t="inlineStr">
        <is>
          <t>CIPTABANG</t>
        </is>
      </c>
      <c r="E182" t="inlineStr">
        <is>
          <t>CIPTA BANGUN NUSANTARA</t>
        </is>
      </c>
      <c r="F182" t="inlineStr"/>
      <c r="G182" t="inlineStr">
        <is>
          <t>3.25.00216</t>
        </is>
      </c>
      <c r="H182" t="inlineStr">
        <is>
          <t>Leads</t>
        </is>
      </c>
      <c r="I182" t="n">
        <v>0</v>
      </c>
      <c r="J182" t="n">
        <v>-304</v>
      </c>
      <c r="K182" t="inlineStr">
        <is>
          <t>Reach Truck 1.5 Ton (1 Unit) _ 1 Tahun _ Canvassing awal &amp; Sales Call</t>
        </is>
      </c>
      <c r="L182">
        <f>IF(AND(H182="Leads", J182&lt;=0), "OVERDUE (IDLE)", IF(AND(H182="Leads", J182&lt;=14), "WARNING (3-14 Days)", IF(AND(H182="Prospect", J182&lt;=0), "PROSPECT EXPIRED", "SAFE / ON TRACK")))</f>
        <v/>
      </c>
    </row>
    <row r="183">
      <c r="A183" t="inlineStr">
        <is>
          <t>Fuji</t>
        </is>
      </c>
      <c r="B183" t="inlineStr"/>
      <c r="C183" t="inlineStr">
        <is>
          <t>Andreas</t>
        </is>
      </c>
      <c r="D183" t="inlineStr">
        <is>
          <t>REASNI</t>
        </is>
      </c>
      <c r="E183" t="inlineStr">
        <is>
          <t>PT REASURANSI NASIONAL INDONESIA</t>
        </is>
      </c>
      <c r="F183" t="inlineStr">
        <is>
          <t>L</t>
        </is>
      </c>
      <c r="G183" t="inlineStr">
        <is>
          <t>3.25.00278</t>
        </is>
      </c>
      <c r="H183" t="inlineStr">
        <is>
          <t>Leads</t>
        </is>
      </c>
      <c r="I183" t="n">
        <v>0</v>
      </c>
      <c r="J183" t="n">
        <v>-195</v>
      </c>
      <c r="K183" t="inlineStr">
        <is>
          <t>Reach Truck 1.5 Ton (1 Unit) _ 1 Tahun _ Canvassing awal &amp; Sales Call</t>
        </is>
      </c>
      <c r="L183">
        <f>IF(AND(H183="Leads", J183&lt;=0), "OVERDUE (IDLE)", IF(AND(H183="Leads", J183&lt;=14), "WARNING (3-14 Days)", IF(AND(H183="Prospect", J183&lt;=0), "PROSPECT EXPIRED", "SAFE / ON TRACK")))</f>
        <v/>
      </c>
    </row>
    <row r="184">
      <c r="A184" t="inlineStr">
        <is>
          <t>Fuji</t>
        </is>
      </c>
      <c r="B184" t="inlineStr"/>
      <c r="C184" t="inlineStr">
        <is>
          <t>Andreas</t>
        </is>
      </c>
      <c r="D184" t="inlineStr">
        <is>
          <t>PANMEDAN</t>
        </is>
      </c>
      <c r="E184" t="inlineStr">
        <is>
          <t>PT PUTRA ARTHA NUSA</t>
        </is>
      </c>
      <c r="F184" t="inlineStr">
        <is>
          <t>M</t>
        </is>
      </c>
      <c r="G184" t="inlineStr">
        <is>
          <t>7.25.00003</t>
        </is>
      </c>
      <c r="H184" t="inlineStr">
        <is>
          <t>Leads</t>
        </is>
      </c>
      <c r="I184" t="n">
        <v>0</v>
      </c>
      <c r="J184" t="n">
        <v>91</v>
      </c>
      <c r="K184" t="inlineStr">
        <is>
          <t>Reach Truck 1.5 Ton (1 Unit) _ 1 Tahun _ Canvassing awal &amp; Sales Call</t>
        </is>
      </c>
      <c r="L184">
        <f>IF(AND(H184="Leads", J184&lt;=0), "OVERDUE (IDLE)", IF(AND(H184="Leads", J184&lt;=14), "WARNING (3-14 Days)", IF(AND(H184="Prospect", J184&lt;=0), "PROSPECT EXPIRED", "SAFE / ON TRACK")))</f>
        <v/>
      </c>
    </row>
    <row r="185">
      <c r="A185" t="inlineStr">
        <is>
          <t>Fuji</t>
        </is>
      </c>
      <c r="B185" t="inlineStr"/>
      <c r="C185" t="inlineStr">
        <is>
          <t>Andreas</t>
        </is>
      </c>
      <c r="D185" t="inlineStr">
        <is>
          <t>PSA</t>
        </is>
      </c>
      <c r="E185" t="inlineStr">
        <is>
          <t>PSA CARGO SOLUTIONS INDONESIA</t>
        </is>
      </c>
      <c r="F185" t="inlineStr"/>
      <c r="G185" t="inlineStr">
        <is>
          <t>7.25.00041</t>
        </is>
      </c>
      <c r="H185" t="inlineStr">
        <is>
          <t>Leads</t>
        </is>
      </c>
      <c r="I185" t="n">
        <v>0</v>
      </c>
      <c r="J185" t="n">
        <v>-342</v>
      </c>
      <c r="K185" t="inlineStr">
        <is>
          <t>Reach Truck 1.5 Ton (1 Unit) _ 1 Tahun _ Canvassing awal &amp; Sales Call</t>
        </is>
      </c>
      <c r="L185">
        <f>IF(AND(H185="Leads", J185&lt;=0), "OVERDUE (IDLE)", IF(AND(H185="Leads", J185&lt;=14), "WARNING (3-14 Days)", IF(AND(H185="Prospect", J185&lt;=0), "PROSPECT EXPIRED", "SAFE / ON TRACK")))</f>
        <v/>
      </c>
    </row>
    <row r="186">
      <c r="A186" t="inlineStr">
        <is>
          <t>Fuji</t>
        </is>
      </c>
      <c r="B186" t="inlineStr"/>
      <c r="C186" t="inlineStr">
        <is>
          <t>Andreas</t>
        </is>
      </c>
      <c r="D186" t="inlineStr">
        <is>
          <t>BNPSEKURIT</t>
        </is>
      </c>
      <c r="E186" t="inlineStr">
        <is>
          <t>PT BNP PARIBAS SEKURITAS INDONESIA</t>
        </is>
      </c>
      <c r="F186" t="inlineStr">
        <is>
          <t>L</t>
        </is>
      </c>
      <c r="G186" t="inlineStr">
        <is>
          <t>7.25.00052</t>
        </is>
      </c>
      <c r="H186" t="inlineStr">
        <is>
          <t>Leads</t>
        </is>
      </c>
      <c r="I186" t="n">
        <v>0</v>
      </c>
      <c r="J186" t="n">
        <v>14</v>
      </c>
      <c r="K186" t="inlineStr">
        <is>
          <t>Reach Truck 1.5 Ton (1 Unit) _ 1 Tahun _ Canvassing awal &amp; Sales Call</t>
        </is>
      </c>
      <c r="L186">
        <f>IF(AND(H186="Leads", J186&lt;=0), "OVERDUE (IDLE)", IF(AND(H186="Leads", J186&lt;=14), "WARNING (3-14 Days)", IF(AND(H186="Prospect", J186&lt;=0), "PROSPECT EXPIRED", "SAFE / ON TRACK")))</f>
        <v/>
      </c>
    </row>
    <row r="187">
      <c r="A187" t="inlineStr">
        <is>
          <t>Fuji</t>
        </is>
      </c>
      <c r="B187" t="inlineStr"/>
      <c r="C187" t="inlineStr">
        <is>
          <t>Andreas</t>
        </is>
      </c>
      <c r="D187" t="inlineStr">
        <is>
          <t>FOTS</t>
        </is>
      </c>
      <c r="E187" t="inlineStr">
        <is>
          <t>PT FRESH ON TIME SEAFOOD</t>
        </is>
      </c>
      <c r="F187" t="inlineStr">
        <is>
          <t>L</t>
        </is>
      </c>
      <c r="G187" t="inlineStr">
        <is>
          <t>7.25.00053</t>
        </is>
      </c>
      <c r="H187" t="inlineStr">
        <is>
          <t>Prospect</t>
        </is>
      </c>
      <c r="I187" t="n">
        <v>78</v>
      </c>
      <c r="J187" t="n">
        <v>258</v>
      </c>
      <c r="K187" t="inlineStr">
        <is>
          <t>Forklift 3 Ton (2 Unit) _ 2 Tahun _ SPH Dikirim ke User</t>
        </is>
      </c>
      <c r="L187">
        <f>IF(AND(H187="Leads", J187&lt;=0), "OVERDUE (IDLE)", IF(AND(H187="Leads", J187&lt;=14), "WARNING (3-14 Days)", IF(AND(H187="Prospect", J187&lt;=0), "PROSPECT EXPIRED", "SAFE / ON TRACK")))</f>
        <v/>
      </c>
    </row>
    <row r="188">
      <c r="A188" t="inlineStr">
        <is>
          <t>Fuji</t>
        </is>
      </c>
      <c r="B188" t="inlineStr"/>
      <c r="C188" t="inlineStr">
        <is>
          <t>Andreas</t>
        </is>
      </c>
      <c r="D188" t="inlineStr">
        <is>
          <t>PAYFAZZ</t>
        </is>
      </c>
      <c r="E188" t="inlineStr">
        <is>
          <t>PAYFAZZ TEKNOLOGI NUSANTARA</t>
        </is>
      </c>
      <c r="F188" t="inlineStr"/>
      <c r="G188" t="inlineStr">
        <is>
          <t>7.25.00055</t>
        </is>
      </c>
      <c r="H188" t="inlineStr">
        <is>
          <t>Leads</t>
        </is>
      </c>
      <c r="I188" t="n">
        <v>0</v>
      </c>
      <c r="J188" t="n">
        <v>-249</v>
      </c>
      <c r="K188" t="inlineStr">
        <is>
          <t>Reach Truck 1.5 Ton (1 Unit) _ 1 Tahun _ Canvassing awal &amp; Sales Call</t>
        </is>
      </c>
      <c r="L188">
        <f>IF(AND(H188="Leads", J188&lt;=0), "OVERDUE (IDLE)", IF(AND(H188="Leads", J188&lt;=14), "WARNING (3-14 Days)", IF(AND(H188="Prospect", J188&lt;=0), "PROSPECT EXPIRED", "SAFE / ON TRACK")))</f>
        <v/>
      </c>
    </row>
    <row r="189">
      <c r="A189" t="inlineStr">
        <is>
          <t>Fuji</t>
        </is>
      </c>
      <c r="B189" t="inlineStr"/>
      <c r="C189" t="inlineStr">
        <is>
          <t>Andreas</t>
        </is>
      </c>
      <c r="D189" t="inlineStr">
        <is>
          <t>TOKAIRUBER</t>
        </is>
      </c>
      <c r="E189" t="inlineStr">
        <is>
          <t>TOKAI RUBBER AUTO HOSE INDONESIA</t>
        </is>
      </c>
      <c r="F189" t="inlineStr"/>
      <c r="G189" t="inlineStr">
        <is>
          <t>7.25.00099</t>
        </is>
      </c>
      <c r="H189" t="inlineStr">
        <is>
          <t>Leads</t>
        </is>
      </c>
      <c r="I189" t="n">
        <v>0</v>
      </c>
      <c r="J189" t="n">
        <v>-319</v>
      </c>
      <c r="K189" t="inlineStr">
        <is>
          <t>Reach Truck 1.5 Ton (1 Unit) _ 1 Tahun _ Canvassing awal &amp; Sales Call</t>
        </is>
      </c>
      <c r="L189">
        <f>IF(AND(H189="Leads", J189&lt;=0), "OVERDUE (IDLE)", IF(AND(H189="Leads", J189&lt;=14), "WARNING (3-14 Days)", IF(AND(H189="Prospect", J189&lt;=0), "PROSPECT EXPIRED", "SAFE / ON TRACK")))</f>
        <v/>
      </c>
    </row>
    <row r="190">
      <c r="A190" t="inlineStr">
        <is>
          <t>Fuji</t>
        </is>
      </c>
      <c r="B190" t="inlineStr"/>
      <c r="C190" t="inlineStr">
        <is>
          <t>Andreas</t>
        </is>
      </c>
      <c r="D190" t="inlineStr">
        <is>
          <t>PANENART</t>
        </is>
      </c>
      <c r="E190" t="inlineStr">
        <is>
          <t>PANEN ARTHA NUSA</t>
        </is>
      </c>
      <c r="F190" t="inlineStr"/>
      <c r="G190" t="inlineStr">
        <is>
          <t>7.25.00102</t>
        </is>
      </c>
      <c r="H190" t="inlineStr">
        <is>
          <t>Leads</t>
        </is>
      </c>
      <c r="I190" t="n">
        <v>0</v>
      </c>
      <c r="J190" t="n">
        <v>-319</v>
      </c>
      <c r="K190" t="inlineStr">
        <is>
          <t>Reach Truck 1.5 Ton (1 Unit) _ 1 Tahun _ Canvassing awal &amp; Sales Call</t>
        </is>
      </c>
      <c r="L190">
        <f>IF(AND(H190="Leads", J190&lt;=0), "OVERDUE (IDLE)", IF(AND(H190="Leads", J190&lt;=14), "WARNING (3-14 Days)", IF(AND(H190="Prospect", J190&lt;=0), "PROSPECT EXPIRED", "SAFE / ON TRACK")))</f>
        <v/>
      </c>
    </row>
    <row r="191">
      <c r="A191" t="inlineStr">
        <is>
          <t>Fuji</t>
        </is>
      </c>
      <c r="B191" t="inlineStr"/>
      <c r="C191" t="inlineStr">
        <is>
          <t>Andreas</t>
        </is>
      </c>
      <c r="D191" t="inlineStr">
        <is>
          <t>SINARMETRI</t>
        </is>
      </c>
      <c r="E191" t="inlineStr">
        <is>
          <t>SINAR METRINDO PERKASA</t>
        </is>
      </c>
      <c r="F191" t="inlineStr"/>
      <c r="G191" t="inlineStr">
        <is>
          <t>7.25.00103</t>
        </is>
      </c>
      <c r="H191" t="inlineStr">
        <is>
          <t>Leads</t>
        </is>
      </c>
      <c r="I191" t="n">
        <v>0</v>
      </c>
      <c r="J191" t="n">
        <v>-319</v>
      </c>
      <c r="K191" t="inlineStr">
        <is>
          <t>Reach Truck 1.5 Ton (1 Unit) _ 1 Tahun _ Canvassing awal &amp; Sales Call</t>
        </is>
      </c>
      <c r="L191">
        <f>IF(AND(H191="Leads", J191&lt;=0), "OVERDUE (IDLE)", IF(AND(H191="Leads", J191&lt;=14), "WARNING (3-14 Days)", IF(AND(H191="Prospect", J191&lt;=0), "PROSPECT EXPIRED", "SAFE / ON TRACK")))</f>
        <v/>
      </c>
    </row>
    <row r="192">
      <c r="A192" t="inlineStr">
        <is>
          <t>Fuji</t>
        </is>
      </c>
      <c r="B192" t="inlineStr"/>
      <c r="C192" t="inlineStr">
        <is>
          <t>Andreas</t>
        </is>
      </c>
      <c r="D192" t="inlineStr">
        <is>
          <t>IPM</t>
        </is>
      </c>
      <c r="E192" t="inlineStr">
        <is>
          <t>PT INTERNATIONAL PACKAGING MANUFACTURING</t>
        </is>
      </c>
      <c r="F192" t="inlineStr">
        <is>
          <t>L</t>
        </is>
      </c>
      <c r="G192" t="inlineStr">
        <is>
          <t>7.25.00110</t>
        </is>
      </c>
      <c r="H192" t="inlineStr">
        <is>
          <t>Leads</t>
        </is>
      </c>
      <c r="I192" t="n">
        <v>0</v>
      </c>
      <c r="J192" t="n">
        <v>53</v>
      </c>
      <c r="K192" t="inlineStr">
        <is>
          <t>Reach Truck 1.5 Ton (1 Unit) _ 1 Tahun _ Canvassing awal &amp; Sales Call</t>
        </is>
      </c>
      <c r="L192">
        <f>IF(AND(H192="Leads", J192&lt;=0), "OVERDUE (IDLE)", IF(AND(H192="Leads", J192&lt;=14), "WARNING (3-14 Days)", IF(AND(H192="Prospect", J192&lt;=0), "PROSPECT EXPIRED", "SAFE / ON TRACK")))</f>
        <v/>
      </c>
    </row>
    <row r="193">
      <c r="A193" t="inlineStr">
        <is>
          <t>Fuji</t>
        </is>
      </c>
      <c r="B193" t="inlineStr"/>
      <c r="C193" t="inlineStr">
        <is>
          <t>Andreas</t>
        </is>
      </c>
      <c r="D193" t="inlineStr">
        <is>
          <t>PADUAKSA</t>
        </is>
      </c>
      <c r="E193" t="inlineStr">
        <is>
          <t>PT PADU AKSA NIAGA</t>
        </is>
      </c>
      <c r="F193" t="inlineStr">
        <is>
          <t>L</t>
        </is>
      </c>
      <c r="G193" t="inlineStr">
        <is>
          <t>7.25.00131</t>
        </is>
      </c>
      <c r="H193" t="inlineStr">
        <is>
          <t>Prospect</t>
        </is>
      </c>
      <c r="I193" t="n">
        <v>79</v>
      </c>
      <c r="J193" t="n">
        <v>259</v>
      </c>
      <c r="K193" t="inlineStr">
        <is>
          <t>Forklift 3 Ton (2 Unit) _ 2 Tahun _ SPH Dikirim ke User</t>
        </is>
      </c>
      <c r="L193">
        <f>IF(AND(H193="Leads", J193&lt;=0), "OVERDUE (IDLE)", IF(AND(H193="Leads", J193&lt;=14), "WARNING (3-14 Days)", IF(AND(H193="Prospect", J193&lt;=0), "PROSPECT EXPIRED", "SAFE / ON TRACK")))</f>
        <v/>
      </c>
    </row>
    <row r="194">
      <c r="A194" t="inlineStr">
        <is>
          <t>Fuji</t>
        </is>
      </c>
      <c r="B194" t="inlineStr"/>
      <c r="C194" t="inlineStr">
        <is>
          <t>Andreas</t>
        </is>
      </c>
      <c r="D194" t="inlineStr">
        <is>
          <t>KMCS</t>
        </is>
      </c>
      <c r="E194" t="inlineStr">
        <is>
          <t>KOREA MARINE CARGO SERVICES JAKARTA</t>
        </is>
      </c>
      <c r="F194" t="inlineStr"/>
      <c r="G194" t="inlineStr">
        <is>
          <t>7.25.00154</t>
        </is>
      </c>
      <c r="H194" t="inlineStr">
        <is>
          <t>Leads</t>
        </is>
      </c>
      <c r="I194" t="n">
        <v>0</v>
      </c>
      <c r="J194" t="n">
        <v>-290</v>
      </c>
      <c r="K194" t="inlineStr">
        <is>
          <t>Reach Truck 1.5 Ton (1 Unit) _ 1 Tahun _ Canvassing awal &amp; Sales Call</t>
        </is>
      </c>
      <c r="L194">
        <f>IF(AND(H194="Leads", J194&lt;=0), "OVERDUE (IDLE)", IF(AND(H194="Leads", J194&lt;=14), "WARNING (3-14 Days)", IF(AND(H194="Prospect", J194&lt;=0), "PROSPECT EXPIRED", "SAFE / ON TRACK")))</f>
        <v/>
      </c>
    </row>
    <row r="195">
      <c r="A195" t="inlineStr">
        <is>
          <t>Fuji</t>
        </is>
      </c>
      <c r="B195" t="inlineStr"/>
      <c r="C195" t="inlineStr">
        <is>
          <t>Andreas</t>
        </is>
      </c>
      <c r="D195" t="inlineStr">
        <is>
          <t>SREEYA</t>
        </is>
      </c>
      <c r="E195" t="inlineStr">
        <is>
          <t>PT SREEYA SEWU INDONESIA TBK</t>
        </is>
      </c>
      <c r="F195" t="inlineStr">
        <is>
          <t>L</t>
        </is>
      </c>
      <c r="G195" t="inlineStr">
        <is>
          <t>7.25.00157</t>
        </is>
      </c>
      <c r="H195" t="inlineStr">
        <is>
          <t>Prospect</t>
        </is>
      </c>
      <c r="I195" t="n">
        <v>88</v>
      </c>
      <c r="J195" t="n">
        <v>268</v>
      </c>
      <c r="K195" t="inlineStr">
        <is>
          <t>Forklift 3 Ton (2 Unit) _ 2 Tahun _ SPH Dikirim ke User</t>
        </is>
      </c>
      <c r="L195">
        <f>IF(AND(H195="Leads", J195&lt;=0), "OVERDUE (IDLE)", IF(AND(H195="Leads", J195&lt;=14), "WARNING (3-14 Days)", IF(AND(H195="Prospect", J195&lt;=0), "PROSPECT EXPIRED", "SAFE / ON TRACK")))</f>
        <v/>
      </c>
    </row>
    <row r="196">
      <c r="A196" t="inlineStr">
        <is>
          <t>Fuji</t>
        </is>
      </c>
      <c r="B196" t="inlineStr"/>
      <c r="C196" t="inlineStr">
        <is>
          <t>Andreas</t>
        </is>
      </c>
      <c r="D196" t="inlineStr">
        <is>
          <t>ATI</t>
        </is>
      </c>
      <c r="E196" t="inlineStr">
        <is>
          <t>AT INDONESIA</t>
        </is>
      </c>
      <c r="F196" t="inlineStr"/>
      <c r="G196" t="inlineStr">
        <is>
          <t>7.25.00161</t>
        </is>
      </c>
      <c r="H196" t="inlineStr">
        <is>
          <t>Leads</t>
        </is>
      </c>
      <c r="I196" t="n">
        <v>0</v>
      </c>
      <c r="J196" t="n">
        <v>-195</v>
      </c>
      <c r="K196" t="inlineStr">
        <is>
          <t>Reach Truck 1.5 Ton (1 Unit) _ 1 Tahun _ Canvassing awal &amp; Sales Call</t>
        </is>
      </c>
      <c r="L196">
        <f>IF(AND(H196="Leads", J196&lt;=0), "OVERDUE (IDLE)", IF(AND(H196="Leads", J196&lt;=14), "WARNING (3-14 Days)", IF(AND(H196="Prospect", J196&lt;=0), "PROSPECT EXPIRED", "SAFE / ON TRACK")))</f>
        <v/>
      </c>
    </row>
    <row r="197">
      <c r="A197" t="inlineStr">
        <is>
          <t>Fuji</t>
        </is>
      </c>
      <c r="B197" t="inlineStr"/>
      <c r="C197" t="inlineStr">
        <is>
          <t>Andreas</t>
        </is>
      </c>
      <c r="D197" t="inlineStr">
        <is>
          <t>E-TIRTAMED</t>
        </is>
      </c>
      <c r="E197" t="inlineStr">
        <is>
          <t>E-TIRTA MEDICAL CENTRE</t>
        </is>
      </c>
      <c r="F197" t="inlineStr">
        <is>
          <t>S</t>
        </is>
      </c>
      <c r="G197" t="inlineStr">
        <is>
          <t>7.25.00177</t>
        </is>
      </c>
      <c r="H197" t="inlineStr">
        <is>
          <t>Leads</t>
        </is>
      </c>
      <c r="I197" t="n">
        <v>0</v>
      </c>
      <c r="J197" t="n">
        <v>-277</v>
      </c>
      <c r="K197" t="inlineStr">
        <is>
          <t>Reach Truck 1.5 Ton (1 Unit) _ 1 Tahun _ Canvassing awal &amp; Sales Call</t>
        </is>
      </c>
      <c r="L197">
        <f>IF(AND(H197="Leads", J197&lt;=0), "OVERDUE (IDLE)", IF(AND(H197="Leads", J197&lt;=14), "WARNING (3-14 Days)", IF(AND(H197="Prospect", J197&lt;=0), "PROSPECT EXPIRED", "SAFE / ON TRACK")))</f>
        <v/>
      </c>
    </row>
    <row r="198">
      <c r="A198" t="inlineStr">
        <is>
          <t>Fuji</t>
        </is>
      </c>
      <c r="B198" t="inlineStr"/>
      <c r="C198" t="inlineStr">
        <is>
          <t>Andreas</t>
        </is>
      </c>
      <c r="D198" t="inlineStr">
        <is>
          <t>BOGA</t>
        </is>
      </c>
      <c r="E198" t="inlineStr">
        <is>
          <t>PT KOBE BOGA UTAMA</t>
        </is>
      </c>
      <c r="F198" t="inlineStr">
        <is>
          <t>L</t>
        </is>
      </c>
      <c r="G198" t="inlineStr">
        <is>
          <t>7.25.00178</t>
        </is>
      </c>
      <c r="H198" t="inlineStr">
        <is>
          <t>Prospect</t>
        </is>
      </c>
      <c r="I198" t="n">
        <v>66</v>
      </c>
      <c r="J198" t="n">
        <v>246</v>
      </c>
      <c r="K198" t="inlineStr">
        <is>
          <t>Forklift 3 Ton (2 Unit) _ 2 Tahun _ SPH Dikirim ke User</t>
        </is>
      </c>
      <c r="L198">
        <f>IF(AND(H198="Leads", J198&lt;=0), "OVERDUE (IDLE)", IF(AND(H198="Leads", J198&lt;=14), "WARNING (3-14 Days)", IF(AND(H198="Prospect", J198&lt;=0), "PROSPECT EXPIRED", "SAFE / ON TRACK")))</f>
        <v/>
      </c>
    </row>
    <row r="199">
      <c r="A199" t="inlineStr">
        <is>
          <t>Fuji</t>
        </is>
      </c>
      <c r="B199" t="inlineStr"/>
      <c r="C199" t="inlineStr">
        <is>
          <t>Andreas</t>
        </is>
      </c>
      <c r="D199" t="inlineStr">
        <is>
          <t>TUNGGALIDA</t>
        </is>
      </c>
      <c r="E199" t="inlineStr">
        <is>
          <t>PT TUNGGAL IDAMAN ABDI</t>
        </is>
      </c>
      <c r="F199" t="inlineStr">
        <is>
          <t>L</t>
        </is>
      </c>
      <c r="G199" t="inlineStr">
        <is>
          <t>7.25.00191</t>
        </is>
      </c>
      <c r="H199" t="inlineStr">
        <is>
          <t>Leads</t>
        </is>
      </c>
      <c r="I199" t="n">
        <v>0</v>
      </c>
      <c r="J199" t="n">
        <v>137</v>
      </c>
      <c r="K199" t="inlineStr">
        <is>
          <t>Reach Truck 1.5 Ton (1 Unit) _ 1 Tahun _ Canvassing awal &amp; Sales Call</t>
        </is>
      </c>
      <c r="L199">
        <f>IF(AND(H199="Leads", J199&lt;=0), "OVERDUE (IDLE)", IF(AND(H199="Leads", J199&lt;=14), "WARNING (3-14 Days)", IF(AND(H199="Prospect", J199&lt;=0), "PROSPECT EXPIRED", "SAFE / ON TRACK")))</f>
        <v/>
      </c>
    </row>
    <row r="200">
      <c r="A200" t="inlineStr">
        <is>
          <t>Fuji</t>
        </is>
      </c>
      <c r="B200" t="inlineStr"/>
      <c r="C200" t="inlineStr">
        <is>
          <t>Andreas</t>
        </is>
      </c>
      <c r="D200" t="inlineStr">
        <is>
          <t>SATO</t>
        </is>
      </c>
      <c r="E200" t="inlineStr">
        <is>
          <t>SATO LABEL INDONESIA</t>
        </is>
      </c>
      <c r="F200" t="inlineStr"/>
      <c r="G200" t="inlineStr">
        <is>
          <t>7.25.00215</t>
        </is>
      </c>
      <c r="H200" t="inlineStr">
        <is>
          <t>Leads</t>
        </is>
      </c>
      <c r="I200" t="n">
        <v>0</v>
      </c>
      <c r="J200" t="n">
        <v>-270</v>
      </c>
      <c r="K200" t="inlineStr">
        <is>
          <t>Reach Truck 1.5 Ton (1 Unit) _ 1 Tahun _ Canvassing awal &amp; Sales Call</t>
        </is>
      </c>
      <c r="L200">
        <f>IF(AND(H200="Leads", J200&lt;=0), "OVERDUE (IDLE)", IF(AND(H200="Leads", J200&lt;=14), "WARNING (3-14 Days)", IF(AND(H200="Prospect", J200&lt;=0), "PROSPECT EXPIRED", "SAFE / ON TRACK")))</f>
        <v/>
      </c>
    </row>
    <row r="201">
      <c r="A201" t="inlineStr">
        <is>
          <t>Fuji</t>
        </is>
      </c>
      <c r="B201" t="inlineStr"/>
      <c r="C201" t="inlineStr">
        <is>
          <t>Andreas</t>
        </is>
      </c>
      <c r="D201" t="inlineStr">
        <is>
          <t>NICHIASSUN</t>
        </is>
      </c>
      <c r="E201" t="inlineStr">
        <is>
          <t>NICHIAS SUNIJAYA</t>
        </is>
      </c>
      <c r="F201" t="inlineStr"/>
      <c r="G201" t="inlineStr">
        <is>
          <t>7.25.00216</t>
        </is>
      </c>
      <c r="H201" t="inlineStr">
        <is>
          <t>Leads</t>
        </is>
      </c>
      <c r="I201" t="n">
        <v>0</v>
      </c>
      <c r="J201" t="n">
        <v>-270</v>
      </c>
      <c r="K201" t="inlineStr">
        <is>
          <t>Reach Truck 1.5 Ton (1 Unit) _ 1 Tahun _ Canvassing awal &amp; Sales Call</t>
        </is>
      </c>
      <c r="L201">
        <f>IF(AND(H201="Leads", J201&lt;=0), "OVERDUE (IDLE)", IF(AND(H201="Leads", J201&lt;=14), "WARNING (3-14 Days)", IF(AND(H201="Prospect", J201&lt;=0), "PROSPECT EXPIRED", "SAFE / ON TRACK")))</f>
        <v/>
      </c>
    </row>
    <row r="202">
      <c r="A202" t="inlineStr">
        <is>
          <t>Fuji</t>
        </is>
      </c>
      <c r="B202" t="inlineStr"/>
      <c r="C202" t="inlineStr">
        <is>
          <t>Andreas</t>
        </is>
      </c>
      <c r="D202" t="inlineStr">
        <is>
          <t>SAMATOR</t>
        </is>
      </c>
      <c r="E202" t="inlineStr">
        <is>
          <t>SAMATOR TAIYO NIPPON SANSO INDONESIA</t>
        </is>
      </c>
      <c r="F202" t="inlineStr"/>
      <c r="G202" t="inlineStr">
        <is>
          <t>7.25.00217</t>
        </is>
      </c>
      <c r="H202" t="inlineStr">
        <is>
          <t>Leads</t>
        </is>
      </c>
      <c r="I202" t="n">
        <v>0</v>
      </c>
      <c r="J202" t="n">
        <v>-270</v>
      </c>
      <c r="K202" t="inlineStr">
        <is>
          <t>Reach Truck 1.5 Ton (1 Unit) _ 1 Tahun _ Canvassing awal &amp; Sales Call</t>
        </is>
      </c>
      <c r="L202">
        <f>IF(AND(H202="Leads", J202&lt;=0), "OVERDUE (IDLE)", IF(AND(H202="Leads", J202&lt;=14), "WARNING (3-14 Days)", IF(AND(H202="Prospect", J202&lt;=0), "PROSPECT EXPIRED", "SAFE / ON TRACK")))</f>
        <v/>
      </c>
    </row>
    <row r="203">
      <c r="A203" t="inlineStr">
        <is>
          <t>Fuji</t>
        </is>
      </c>
      <c r="B203" t="inlineStr"/>
      <c r="C203" t="inlineStr">
        <is>
          <t>Andreas</t>
        </is>
      </c>
      <c r="D203" t="inlineStr">
        <is>
          <t>CHIYODA</t>
        </is>
      </c>
      <c r="E203" t="inlineStr">
        <is>
          <t>CHIYODA INTERNATIONAL INDONESIA</t>
        </is>
      </c>
      <c r="F203" t="inlineStr"/>
      <c r="G203" t="inlineStr">
        <is>
          <t>7.25.00218</t>
        </is>
      </c>
      <c r="H203" t="inlineStr">
        <is>
          <t>Leads</t>
        </is>
      </c>
      <c r="I203" t="n">
        <v>0</v>
      </c>
      <c r="J203" t="n">
        <v>-270</v>
      </c>
      <c r="K203" t="inlineStr">
        <is>
          <t>Reach Truck 1.5 Ton (1 Unit) _ 1 Tahun _ Canvassing awal &amp; Sales Call</t>
        </is>
      </c>
      <c r="L203">
        <f>IF(AND(H203="Leads", J203&lt;=0), "OVERDUE (IDLE)", IF(AND(H203="Leads", J203&lt;=14), "WARNING (3-14 Days)", IF(AND(H203="Prospect", J203&lt;=0), "PROSPECT EXPIRED", "SAFE / ON TRACK")))</f>
        <v/>
      </c>
    </row>
    <row r="204">
      <c r="A204" t="inlineStr">
        <is>
          <t>Fuji</t>
        </is>
      </c>
      <c r="B204" t="inlineStr"/>
      <c r="C204" t="inlineStr">
        <is>
          <t>Andreas</t>
        </is>
      </c>
      <c r="D204" t="inlineStr">
        <is>
          <t>OMRON</t>
        </is>
      </c>
      <c r="E204" t="inlineStr">
        <is>
          <t>OMRON MANUFACTURING OF INDONESIA</t>
        </is>
      </c>
      <c r="F204" t="inlineStr"/>
      <c r="G204" t="inlineStr">
        <is>
          <t>7.25.00220</t>
        </is>
      </c>
      <c r="H204" t="inlineStr">
        <is>
          <t>Leads</t>
        </is>
      </c>
      <c r="I204" t="n">
        <v>0</v>
      </c>
      <c r="J204" t="n">
        <v>163</v>
      </c>
      <c r="K204" t="inlineStr">
        <is>
          <t>Reach Truck 1.5 Ton (1 Unit) _ 1 Tahun _ Canvassing awal &amp; Sales Call</t>
        </is>
      </c>
      <c r="L204">
        <f>IF(AND(H204="Leads", J204&lt;=0), "OVERDUE (IDLE)", IF(AND(H204="Leads", J204&lt;=14), "WARNING (3-14 Days)", IF(AND(H204="Prospect", J204&lt;=0), "PROSPECT EXPIRED", "SAFE / ON TRACK")))</f>
        <v/>
      </c>
    </row>
    <row r="205">
      <c r="A205" t="inlineStr">
        <is>
          <t>Fuji</t>
        </is>
      </c>
      <c r="B205" t="inlineStr"/>
      <c r="C205" t="inlineStr">
        <is>
          <t>Andreas</t>
        </is>
      </c>
      <c r="D205" t="inlineStr">
        <is>
          <t>TIGAKARUNI</t>
        </is>
      </c>
      <c r="E205" t="inlineStr">
        <is>
          <t>TIGA KARUNIA INDONESIA</t>
        </is>
      </c>
      <c r="F205" t="inlineStr"/>
      <c r="G205" t="inlineStr">
        <is>
          <t>7.25.00221</t>
        </is>
      </c>
      <c r="H205" t="inlineStr">
        <is>
          <t>Leads</t>
        </is>
      </c>
      <c r="I205" t="n">
        <v>0</v>
      </c>
      <c r="J205" t="n">
        <v>-270</v>
      </c>
      <c r="K205" t="inlineStr">
        <is>
          <t>Reach Truck 1.5 Ton (1 Unit) _ 1 Tahun _ Canvassing awal &amp; Sales Call</t>
        </is>
      </c>
      <c r="L205">
        <f>IF(AND(H205="Leads", J205&lt;=0), "OVERDUE (IDLE)", IF(AND(H205="Leads", J205&lt;=14), "WARNING (3-14 Days)", IF(AND(H205="Prospect", J205&lt;=0), "PROSPECT EXPIRED", "SAFE / ON TRACK")))</f>
        <v/>
      </c>
    </row>
    <row r="206">
      <c r="A206" t="inlineStr">
        <is>
          <t>Fuji</t>
        </is>
      </c>
      <c r="B206" t="inlineStr"/>
      <c r="C206" t="inlineStr">
        <is>
          <t>Andreas</t>
        </is>
      </c>
      <c r="D206" t="inlineStr">
        <is>
          <t>HANKYUHAN</t>
        </is>
      </c>
      <c r="E206" t="inlineStr">
        <is>
          <t>HANKYU HANSHIN LOGISTICS INDONESIA</t>
        </is>
      </c>
      <c r="F206" t="inlineStr"/>
      <c r="G206" t="inlineStr">
        <is>
          <t>7.25.00222</t>
        </is>
      </c>
      <c r="H206" t="inlineStr">
        <is>
          <t>Leads</t>
        </is>
      </c>
      <c r="I206" t="n">
        <v>0</v>
      </c>
      <c r="J206" t="n">
        <v>-270</v>
      </c>
      <c r="K206" t="inlineStr">
        <is>
          <t>Reach Truck 1.5 Ton (1 Unit) _ 1 Tahun _ Canvassing awal &amp; Sales Call</t>
        </is>
      </c>
      <c r="L206">
        <f>IF(AND(H206="Leads", J206&lt;=0), "OVERDUE (IDLE)", IF(AND(H206="Leads", J206&lt;=14), "WARNING (3-14 Days)", IF(AND(H206="Prospect", J206&lt;=0), "PROSPECT EXPIRED", "SAFE / ON TRACK")))</f>
        <v/>
      </c>
    </row>
    <row r="207">
      <c r="A207" t="inlineStr">
        <is>
          <t>Fuji</t>
        </is>
      </c>
      <c r="B207" t="inlineStr"/>
      <c r="C207" t="inlineStr">
        <is>
          <t>Andreas</t>
        </is>
      </c>
      <c r="D207" t="inlineStr">
        <is>
          <t>NITTOH</t>
        </is>
      </c>
      <c r="E207" t="inlineStr">
        <is>
          <t>NITTOH PRESISI INDONESIA</t>
        </is>
      </c>
      <c r="F207" t="inlineStr"/>
      <c r="G207" t="inlineStr">
        <is>
          <t>7.25.00223</t>
        </is>
      </c>
      <c r="H207" t="inlineStr">
        <is>
          <t>Leads</t>
        </is>
      </c>
      <c r="I207" t="n">
        <v>0</v>
      </c>
      <c r="J207" t="n">
        <v>-270</v>
      </c>
      <c r="K207" t="inlineStr">
        <is>
          <t>Reach Truck 1.5 Ton (1 Unit) _ 1 Tahun _ Canvassing awal &amp; Sales Call</t>
        </is>
      </c>
      <c r="L207">
        <f>IF(AND(H207="Leads", J207&lt;=0), "OVERDUE (IDLE)", IF(AND(H207="Leads", J207&lt;=14), "WARNING (3-14 Days)", IF(AND(H207="Prospect", J207&lt;=0), "PROSPECT EXPIRED", "SAFE / ON TRACK")))</f>
        <v/>
      </c>
    </row>
    <row r="208">
      <c r="A208" t="inlineStr">
        <is>
          <t>Fuji</t>
        </is>
      </c>
      <c r="B208" t="inlineStr"/>
      <c r="C208" t="inlineStr">
        <is>
          <t>Andreas</t>
        </is>
      </c>
      <c r="D208" t="inlineStr">
        <is>
          <t>NOVONORDIS</t>
        </is>
      </c>
      <c r="E208" t="inlineStr">
        <is>
          <t>NOVO NORDISK INDONESIA</t>
        </is>
      </c>
      <c r="F208" t="inlineStr">
        <is>
          <t>S</t>
        </is>
      </c>
      <c r="G208" t="inlineStr">
        <is>
          <t>7.25.00226</t>
        </is>
      </c>
      <c r="H208" t="inlineStr">
        <is>
          <t>Leads</t>
        </is>
      </c>
      <c r="I208" t="n">
        <v>0</v>
      </c>
      <c r="J208" t="n">
        <v>-95</v>
      </c>
      <c r="K208" t="inlineStr">
        <is>
          <t>Reach Truck 1.5 Ton (1 Unit) _ 1 Tahun _ Canvassing awal &amp; Sales Call</t>
        </is>
      </c>
      <c r="L208">
        <f>IF(AND(H208="Leads", J208&lt;=0), "OVERDUE (IDLE)", IF(AND(H208="Leads", J208&lt;=14), "WARNING (3-14 Days)", IF(AND(H208="Prospect", J208&lt;=0), "PROSPECT EXPIRED", "SAFE / ON TRACK")))</f>
        <v/>
      </c>
    </row>
    <row r="209">
      <c r="A209" t="inlineStr">
        <is>
          <t>Fuji</t>
        </is>
      </c>
      <c r="B209" t="inlineStr"/>
      <c r="C209" t="inlineStr">
        <is>
          <t>Andreas</t>
        </is>
      </c>
      <c r="D209" t="inlineStr">
        <is>
          <t>KEWPIEIND</t>
        </is>
      </c>
      <c r="E209" t="inlineStr">
        <is>
          <t>KEWPIE INDONESIA</t>
        </is>
      </c>
      <c r="F209" t="inlineStr"/>
      <c r="G209" t="inlineStr">
        <is>
          <t>7.25.00227</t>
        </is>
      </c>
      <c r="H209" t="inlineStr">
        <is>
          <t>Leads</t>
        </is>
      </c>
      <c r="I209" t="n">
        <v>0</v>
      </c>
      <c r="J209" t="n">
        <v>-269</v>
      </c>
      <c r="K209" t="inlineStr">
        <is>
          <t>Reach Truck 1.5 Ton (1 Unit) _ 1 Tahun _ Canvassing awal &amp; Sales Call</t>
        </is>
      </c>
      <c r="L209">
        <f>IF(AND(H209="Leads", J209&lt;=0), "OVERDUE (IDLE)", IF(AND(H209="Leads", J209&lt;=14), "WARNING (3-14 Days)", IF(AND(H209="Prospect", J209&lt;=0), "PROSPECT EXPIRED", "SAFE / ON TRACK")))</f>
        <v/>
      </c>
    </row>
    <row r="210">
      <c r="A210" t="inlineStr">
        <is>
          <t>Fuji</t>
        </is>
      </c>
      <c r="B210" t="inlineStr"/>
      <c r="C210" t="inlineStr">
        <is>
          <t>Andreas</t>
        </is>
      </c>
      <c r="D210" t="inlineStr">
        <is>
          <t>HANKEN</t>
        </is>
      </c>
      <c r="E210" t="inlineStr">
        <is>
          <t>HANKEN INDONESIA</t>
        </is>
      </c>
      <c r="F210" t="inlineStr"/>
      <c r="G210" t="inlineStr">
        <is>
          <t>7.25.00229</t>
        </is>
      </c>
      <c r="H210" t="inlineStr">
        <is>
          <t>Leads</t>
        </is>
      </c>
      <c r="I210" t="n">
        <v>0</v>
      </c>
      <c r="J210" t="n">
        <v>-269</v>
      </c>
      <c r="K210" t="inlineStr">
        <is>
          <t>Reach Truck 1.5 Ton (1 Unit) _ 1 Tahun _ Canvassing awal &amp; Sales Call</t>
        </is>
      </c>
      <c r="L210">
        <f>IF(AND(H210="Leads", J210&lt;=0), "OVERDUE (IDLE)", IF(AND(H210="Leads", J210&lt;=14), "WARNING (3-14 Days)", IF(AND(H210="Prospect", J210&lt;=0), "PROSPECT EXPIRED", "SAFE / ON TRACK")))</f>
        <v/>
      </c>
    </row>
    <row r="211">
      <c r="A211" t="inlineStr">
        <is>
          <t>Fuji</t>
        </is>
      </c>
      <c r="B211" t="inlineStr"/>
      <c r="C211" t="inlineStr">
        <is>
          <t>Andreas</t>
        </is>
      </c>
      <c r="D211" t="inlineStr">
        <is>
          <t>CARDSINDO</t>
        </is>
      </c>
      <c r="E211" t="inlineStr">
        <is>
          <t>CARDSINDO TIGA PERKASA</t>
        </is>
      </c>
      <c r="F211" t="inlineStr">
        <is>
          <t>S</t>
        </is>
      </c>
      <c r="G211" t="inlineStr">
        <is>
          <t>7.25.00230</t>
        </is>
      </c>
      <c r="H211" t="inlineStr">
        <is>
          <t>Leads</t>
        </is>
      </c>
      <c r="I211" t="n">
        <v>0</v>
      </c>
      <c r="J211" t="n">
        <v>-269</v>
      </c>
      <c r="K211" t="inlineStr">
        <is>
          <t>Reach Truck 1.5 Ton (1 Unit) _ 1 Tahun _ Canvassing awal &amp; Sales Call</t>
        </is>
      </c>
      <c r="L211">
        <f>IF(AND(H211="Leads", J211&lt;=0), "OVERDUE (IDLE)", IF(AND(H211="Leads", J211&lt;=14), "WARNING (3-14 Days)", IF(AND(H211="Prospect", J211&lt;=0), "PROSPECT EXPIRED", "SAFE / ON TRACK")))</f>
        <v/>
      </c>
    </row>
    <row r="212">
      <c r="A212" t="inlineStr">
        <is>
          <t>Fuji</t>
        </is>
      </c>
      <c r="B212" t="inlineStr"/>
      <c r="C212" t="inlineStr">
        <is>
          <t>Andreas</t>
        </is>
      </c>
      <c r="D212" t="inlineStr">
        <is>
          <t>KAWAJUN</t>
        </is>
      </c>
      <c r="E212" t="inlineStr">
        <is>
          <t>KAWAJUN INDONESIA</t>
        </is>
      </c>
      <c r="F212" t="inlineStr"/>
      <c r="G212" t="inlineStr">
        <is>
          <t>7.25.00231</t>
        </is>
      </c>
      <c r="H212" t="inlineStr">
        <is>
          <t>Leads</t>
        </is>
      </c>
      <c r="I212" t="n">
        <v>0</v>
      </c>
      <c r="J212" t="n">
        <v>-269</v>
      </c>
      <c r="K212" t="inlineStr">
        <is>
          <t>Reach Truck 1.5 Ton (1 Unit) _ 1 Tahun _ Canvassing awal &amp; Sales Call</t>
        </is>
      </c>
      <c r="L212">
        <f>IF(AND(H212="Leads", J212&lt;=0), "OVERDUE (IDLE)", IF(AND(H212="Leads", J212&lt;=14), "WARNING (3-14 Days)", IF(AND(H212="Prospect", J212&lt;=0), "PROSPECT EXPIRED", "SAFE / ON TRACK")))</f>
        <v/>
      </c>
    </row>
    <row r="213">
      <c r="A213" t="inlineStr">
        <is>
          <t>Fuji</t>
        </is>
      </c>
      <c r="B213" t="inlineStr"/>
      <c r="C213" t="inlineStr">
        <is>
          <t>Andreas</t>
        </is>
      </c>
      <c r="D213" t="inlineStr">
        <is>
          <t>MANDAU</t>
        </is>
      </c>
      <c r="E213" t="inlineStr">
        <is>
          <t>PT MANDIRI DAYA UTAMA NUSANTARA</t>
        </is>
      </c>
      <c r="F213" t="inlineStr">
        <is>
          <t>L</t>
        </is>
      </c>
      <c r="G213" t="inlineStr">
        <is>
          <t>7.25.00235</t>
        </is>
      </c>
      <c r="H213" t="inlineStr">
        <is>
          <t>Leads</t>
        </is>
      </c>
      <c r="I213" t="n">
        <v>0</v>
      </c>
      <c r="J213" t="n">
        <v>128</v>
      </c>
      <c r="K213" t="inlineStr">
        <is>
          <t>Reach Truck 1.5 Ton (1 Unit) _ 1 Tahun _ Canvassing awal &amp; Sales Call</t>
        </is>
      </c>
      <c r="L213">
        <f>IF(AND(H213="Leads", J213&lt;=0), "OVERDUE (IDLE)", IF(AND(H213="Leads", J213&lt;=14), "WARNING (3-14 Days)", IF(AND(H213="Prospect", J213&lt;=0), "PROSPECT EXPIRED", "SAFE / ON TRACK")))</f>
        <v/>
      </c>
    </row>
    <row r="214">
      <c r="A214" t="inlineStr">
        <is>
          <t>Fuji</t>
        </is>
      </c>
      <c r="B214" t="inlineStr"/>
      <c r="C214" t="inlineStr">
        <is>
          <t>Andreas</t>
        </is>
      </c>
      <c r="D214" t="inlineStr">
        <is>
          <t>MACROSENNI</t>
        </is>
      </c>
      <c r="E214" t="inlineStr">
        <is>
          <t>MACROSENTRA NIAGABOGA</t>
        </is>
      </c>
      <c r="F214" t="inlineStr"/>
      <c r="G214" t="inlineStr">
        <is>
          <t>7.25.00266</t>
        </is>
      </c>
      <c r="H214" t="inlineStr">
        <is>
          <t>Leads</t>
        </is>
      </c>
      <c r="I214" t="n">
        <v>0</v>
      </c>
      <c r="J214" t="n">
        <v>-95</v>
      </c>
      <c r="K214" t="inlineStr">
        <is>
          <t>Reach Truck 1.5 Ton (1 Unit) _ 1 Tahun _ Canvassing awal &amp; Sales Call</t>
        </is>
      </c>
      <c r="L214">
        <f>IF(AND(H214="Leads", J214&lt;=0), "OVERDUE (IDLE)", IF(AND(H214="Leads", J214&lt;=14), "WARNING (3-14 Days)", IF(AND(H214="Prospect", J214&lt;=0), "PROSPECT EXPIRED", "SAFE / ON TRACK")))</f>
        <v/>
      </c>
    </row>
    <row r="215">
      <c r="A215" t="inlineStr">
        <is>
          <t>Fuji</t>
        </is>
      </c>
      <c r="B215" t="inlineStr"/>
      <c r="C215" t="inlineStr">
        <is>
          <t>Andreas</t>
        </is>
      </c>
      <c r="D215" t="inlineStr">
        <is>
          <t>AJEINDO</t>
        </is>
      </c>
      <c r="E215" t="inlineStr">
        <is>
          <t>AJE INDONESIA</t>
        </is>
      </c>
      <c r="F215" t="inlineStr">
        <is>
          <t>S</t>
        </is>
      </c>
      <c r="G215" t="inlineStr">
        <is>
          <t>7.25.00284</t>
        </is>
      </c>
      <c r="H215" t="inlineStr">
        <is>
          <t>Prospect</t>
        </is>
      </c>
      <c r="I215" t="n">
        <v>72</v>
      </c>
      <c r="J215" t="n">
        <v>252</v>
      </c>
      <c r="K215" t="inlineStr">
        <is>
          <t>Forklift 3 Ton (2 Unit) _ 2 Tahun _ SPH Dikirim ke User</t>
        </is>
      </c>
      <c r="L215">
        <f>IF(AND(H215="Leads", J215&lt;=0), "OVERDUE (IDLE)", IF(AND(H215="Leads", J215&lt;=14), "WARNING (3-14 Days)", IF(AND(H215="Prospect", J215&lt;=0), "PROSPECT EXPIRED", "SAFE / ON TRACK")))</f>
        <v/>
      </c>
    </row>
    <row r="216">
      <c r="A216" t="inlineStr">
        <is>
          <t>Fuji</t>
        </is>
      </c>
      <c r="B216" t="inlineStr"/>
      <c r="C216" t="inlineStr">
        <is>
          <t>Andreas</t>
        </is>
      </c>
      <c r="D216" t="inlineStr">
        <is>
          <t>DMGMORINDO</t>
        </is>
      </c>
      <c r="E216" t="inlineStr">
        <is>
          <t>PT DMG MORI INDONESIA</t>
        </is>
      </c>
      <c r="F216" t="inlineStr">
        <is>
          <t>L</t>
        </is>
      </c>
      <c r="G216" t="inlineStr">
        <is>
          <t>7.25.00286</t>
        </is>
      </c>
      <c r="H216" t="inlineStr">
        <is>
          <t>Leads</t>
        </is>
      </c>
      <c r="I216" t="n">
        <v>0</v>
      </c>
      <c r="J216" t="n">
        <v>91</v>
      </c>
      <c r="K216" t="inlineStr">
        <is>
          <t>Reach Truck 1.5 Ton (1 Unit) _ 1 Tahun _ Canvassing awal &amp; Sales Call</t>
        </is>
      </c>
      <c r="L216">
        <f>IF(AND(H216="Leads", J216&lt;=0), "OVERDUE (IDLE)", IF(AND(H216="Leads", J216&lt;=14), "WARNING (3-14 Days)", IF(AND(H216="Prospect", J216&lt;=0), "PROSPECT EXPIRED", "SAFE / ON TRACK")))</f>
        <v/>
      </c>
    </row>
    <row r="217">
      <c r="A217" t="inlineStr">
        <is>
          <t>Fuji</t>
        </is>
      </c>
      <c r="B217" t="inlineStr"/>
      <c r="C217" t="inlineStr">
        <is>
          <t>Andreas</t>
        </is>
      </c>
      <c r="D217" t="inlineStr">
        <is>
          <t>KRONESMACH</t>
        </is>
      </c>
      <c r="E217" t="inlineStr">
        <is>
          <t>PT KRONES MACHINERY INDONESIA</t>
        </is>
      </c>
      <c r="F217" t="inlineStr">
        <is>
          <t>L</t>
        </is>
      </c>
      <c r="G217" t="inlineStr">
        <is>
          <t>7.25.00289</t>
        </is>
      </c>
      <c r="H217" t="inlineStr">
        <is>
          <t>Leads</t>
        </is>
      </c>
      <c r="I217" t="n">
        <v>0</v>
      </c>
      <c r="J217" t="n">
        <v>70</v>
      </c>
      <c r="K217" t="inlineStr">
        <is>
          <t>Reach Truck 1.5 Ton (1 Unit) _ 1 Tahun _ Canvassing awal &amp; Sales Call</t>
        </is>
      </c>
      <c r="L217">
        <f>IF(AND(H217="Leads", J217&lt;=0), "OVERDUE (IDLE)", IF(AND(H217="Leads", J217&lt;=14), "WARNING (3-14 Days)", IF(AND(H217="Prospect", J217&lt;=0), "PROSPECT EXPIRED", "SAFE / ON TRACK")))</f>
        <v/>
      </c>
    </row>
    <row r="218">
      <c r="A218" t="inlineStr">
        <is>
          <t>Fuji</t>
        </is>
      </c>
      <c r="B218" t="inlineStr"/>
      <c r="C218" t="inlineStr">
        <is>
          <t>Andreas</t>
        </is>
      </c>
      <c r="D218" t="inlineStr">
        <is>
          <t>KUARTA</t>
        </is>
      </c>
      <c r="E218" t="inlineStr">
        <is>
          <t>PT KUARTA POWERINDO PERKASA</t>
        </is>
      </c>
      <c r="F218" t="inlineStr">
        <is>
          <t>L</t>
        </is>
      </c>
      <c r="G218" t="inlineStr">
        <is>
          <t>7.25.00295</t>
        </is>
      </c>
      <c r="H218" t="inlineStr">
        <is>
          <t>Leads</t>
        </is>
      </c>
      <c r="I218" t="n">
        <v>0</v>
      </c>
      <c r="J218" t="n">
        <v>168</v>
      </c>
      <c r="K218" t="inlineStr">
        <is>
          <t>Reach Truck 1.5 Ton (1 Unit) _ 1 Tahun _ Canvassing awal &amp; Sales Call</t>
        </is>
      </c>
      <c r="L218">
        <f>IF(AND(H218="Leads", J218&lt;=0), "OVERDUE (IDLE)", IF(AND(H218="Leads", J218&lt;=14), "WARNING (3-14 Days)", IF(AND(H218="Prospect", J218&lt;=0), "PROSPECT EXPIRED", "SAFE / ON TRACK")))</f>
        <v/>
      </c>
    </row>
    <row r="219">
      <c r="A219" t="inlineStr">
        <is>
          <t>Fuji</t>
        </is>
      </c>
      <c r="B219" t="inlineStr"/>
      <c r="C219" t="inlineStr">
        <is>
          <t>Andreas</t>
        </is>
      </c>
      <c r="D219" t="inlineStr">
        <is>
          <t>PERMAKARJA</t>
        </is>
      </c>
      <c r="E219" t="inlineStr">
        <is>
          <t>PT PERMATA KARYA JASA</t>
        </is>
      </c>
      <c r="F219" t="inlineStr">
        <is>
          <t>L</t>
        </is>
      </c>
      <c r="G219" t="inlineStr">
        <is>
          <t>7.25.00297</t>
        </is>
      </c>
      <c r="H219" t="inlineStr">
        <is>
          <t>Prospect</t>
        </is>
      </c>
      <c r="I219" t="n">
        <v>59</v>
      </c>
      <c r="J219" t="n">
        <v>239</v>
      </c>
      <c r="K219" t="inlineStr">
        <is>
          <t>Forklift 3 Ton (2 Unit) _ 2 Tahun _ SPH Dikirim ke User</t>
        </is>
      </c>
      <c r="L219">
        <f>IF(AND(H219="Leads", J219&lt;=0), "OVERDUE (IDLE)", IF(AND(H219="Leads", J219&lt;=14), "WARNING (3-14 Days)", IF(AND(H219="Prospect", J219&lt;=0), "PROSPECT EXPIRED", "SAFE / ON TRACK")))</f>
        <v/>
      </c>
    </row>
    <row r="220">
      <c r="A220" t="inlineStr">
        <is>
          <t>Fuji</t>
        </is>
      </c>
      <c r="B220" t="inlineStr"/>
      <c r="C220" t="inlineStr">
        <is>
          <t>Andreas</t>
        </is>
      </c>
      <c r="D220" t="inlineStr">
        <is>
          <t>BAP</t>
        </is>
      </c>
      <c r="E220" t="inlineStr">
        <is>
          <t>BERLIAN AMAL PERKASA</t>
        </is>
      </c>
      <c r="F220" t="inlineStr">
        <is>
          <t>S</t>
        </is>
      </c>
      <c r="G220" t="inlineStr">
        <is>
          <t>7.25.00330</t>
        </is>
      </c>
      <c r="H220" t="inlineStr">
        <is>
          <t>Leads</t>
        </is>
      </c>
      <c r="I220" t="n">
        <v>0</v>
      </c>
      <c r="J220" t="n">
        <v>-118</v>
      </c>
      <c r="K220" t="inlineStr">
        <is>
          <t>Reach Truck 1.5 Ton (1 Unit) _ 1 Tahun _ Canvassing awal &amp; Sales Call</t>
        </is>
      </c>
      <c r="L220">
        <f>IF(AND(H220="Leads", J220&lt;=0), "OVERDUE (IDLE)", IF(AND(H220="Leads", J220&lt;=14), "WARNING (3-14 Days)", IF(AND(H220="Prospect", J220&lt;=0), "PROSPECT EXPIRED", "SAFE / ON TRACK")))</f>
        <v/>
      </c>
    </row>
    <row r="221">
      <c r="A221" t="inlineStr">
        <is>
          <t>Fuji</t>
        </is>
      </c>
      <c r="B221" t="inlineStr"/>
      <c r="C221" t="inlineStr">
        <is>
          <t>Andreas</t>
        </is>
      </c>
      <c r="D221" t="inlineStr">
        <is>
          <t>ASIHEKA</t>
        </is>
      </c>
      <c r="E221" t="inlineStr">
        <is>
          <t>PT ASIH EKA ABADI</t>
        </is>
      </c>
      <c r="F221" t="inlineStr">
        <is>
          <t>L</t>
        </is>
      </c>
      <c r="G221" t="inlineStr">
        <is>
          <t>7.25.00333</t>
        </is>
      </c>
      <c r="H221" t="inlineStr">
        <is>
          <t>Leads</t>
        </is>
      </c>
      <c r="I221" t="n">
        <v>0</v>
      </c>
      <c r="J221" t="n">
        <v>64</v>
      </c>
      <c r="K221" t="inlineStr">
        <is>
          <t>Reach Truck 1.5 Ton (1 Unit) _ 1 Tahun _ Canvassing awal &amp; Sales Call</t>
        </is>
      </c>
      <c r="L221">
        <f>IF(AND(H221="Leads", J221&lt;=0), "OVERDUE (IDLE)", IF(AND(H221="Leads", J221&lt;=14), "WARNING (3-14 Days)", IF(AND(H221="Prospect", J221&lt;=0), "PROSPECT EXPIRED", "SAFE / ON TRACK")))</f>
        <v/>
      </c>
    </row>
    <row r="222">
      <c r="A222" t="inlineStr">
        <is>
          <t>Fuji</t>
        </is>
      </c>
      <c r="B222" t="inlineStr"/>
      <c r="C222" t="inlineStr">
        <is>
          <t>Andreas</t>
        </is>
      </c>
      <c r="D222" t="inlineStr">
        <is>
          <t>DSSTMASGEM</t>
        </is>
      </c>
      <c r="E222" t="inlineStr">
        <is>
          <t>PT DSST MAS GEMILANG</t>
        </is>
      </c>
      <c r="F222" t="inlineStr">
        <is>
          <t>M</t>
        </is>
      </c>
      <c r="G222" t="inlineStr">
        <is>
          <t>7.25.00358</t>
        </is>
      </c>
      <c r="H222" t="inlineStr">
        <is>
          <t>Leads</t>
        </is>
      </c>
      <c r="I222" t="n">
        <v>0</v>
      </c>
      <c r="J222" t="n">
        <v>24</v>
      </c>
      <c r="K222" t="inlineStr">
        <is>
          <t>Reach Truck 1.5 Ton (1 Unit) _ 1 Tahun _ Canvassing awal &amp; Sales Call</t>
        </is>
      </c>
      <c r="L222">
        <f>IF(AND(H222="Leads", J222&lt;=0), "OVERDUE (IDLE)", IF(AND(H222="Leads", J222&lt;=14), "WARNING (3-14 Days)", IF(AND(H222="Prospect", J222&lt;=0), "PROSPECT EXPIRED", "SAFE / ON TRACK")))</f>
        <v/>
      </c>
    </row>
    <row r="223">
      <c r="A223" t="inlineStr">
        <is>
          <t>Fuji</t>
        </is>
      </c>
      <c r="B223" t="inlineStr"/>
      <c r="C223" t="inlineStr">
        <is>
          <t>Andreas</t>
        </is>
      </c>
      <c r="D223" t="inlineStr">
        <is>
          <t>BELFONESIA</t>
        </is>
      </c>
      <c r="E223" t="inlineStr">
        <is>
          <t>PT BELFOODS INDONESIA</t>
        </is>
      </c>
      <c r="F223" t="inlineStr">
        <is>
          <t>L</t>
        </is>
      </c>
      <c r="G223" t="inlineStr">
        <is>
          <t>7.25.00369</t>
        </is>
      </c>
      <c r="H223" t="inlineStr">
        <is>
          <t>Prospect</t>
        </is>
      </c>
      <c r="I223" t="n">
        <v>73</v>
      </c>
      <c r="J223" t="n">
        <v>253</v>
      </c>
      <c r="K223" t="inlineStr">
        <is>
          <t>Forklift 3 Ton (2 Unit) _ 2 Tahun _ SPH Dikirim ke User</t>
        </is>
      </c>
      <c r="L223">
        <f>IF(AND(H223="Leads", J223&lt;=0), "OVERDUE (IDLE)", IF(AND(H223="Leads", J223&lt;=14), "WARNING (3-14 Days)", IF(AND(H223="Prospect", J223&lt;=0), "PROSPECT EXPIRED", "SAFE / ON TRACK")))</f>
        <v/>
      </c>
    </row>
    <row r="224">
      <c r="A224" t="inlineStr">
        <is>
          <t>Fuji</t>
        </is>
      </c>
      <c r="B224" t="inlineStr"/>
      <c r="C224" t="inlineStr">
        <is>
          <t>Andreas</t>
        </is>
      </c>
      <c r="D224" t="inlineStr">
        <is>
          <t>SAS</t>
        </is>
      </c>
      <c r="E224" t="inlineStr">
        <is>
          <t>PT SUMBER ANGGUR SEJAHTERA</t>
        </is>
      </c>
      <c r="F224" t="inlineStr">
        <is>
          <t>L</t>
        </is>
      </c>
      <c r="G224" t="inlineStr">
        <is>
          <t>7.25.00376</t>
        </is>
      </c>
      <c r="H224" t="inlineStr">
        <is>
          <t>Prospect</t>
        </is>
      </c>
      <c r="I224" t="n">
        <v>59</v>
      </c>
      <c r="J224" t="n">
        <v>239</v>
      </c>
      <c r="K224" t="inlineStr">
        <is>
          <t>Forklift 3 Ton (2 Unit) _ 2 Tahun _ SPH Dikirim ke User</t>
        </is>
      </c>
      <c r="L224">
        <f>IF(AND(H224="Leads", J224&lt;=0), "OVERDUE (IDLE)", IF(AND(H224="Leads", J224&lt;=14), "WARNING (3-14 Days)", IF(AND(H224="Prospect", J224&lt;=0), "PROSPECT EXPIRED", "SAFE / ON TRACK")))</f>
        <v/>
      </c>
    </row>
    <row r="225">
      <c r="A225" t="inlineStr">
        <is>
          <t>Fuji</t>
        </is>
      </c>
      <c r="B225" t="inlineStr"/>
      <c r="C225" t="inlineStr">
        <is>
          <t>Andreas</t>
        </is>
      </c>
      <c r="D225" t="inlineStr">
        <is>
          <t>SUNSTREAM</t>
        </is>
      </c>
      <c r="E225" t="inlineStr">
        <is>
          <t>SUNSTREAM INDONESIA</t>
        </is>
      </c>
      <c r="F225" t="inlineStr"/>
      <c r="G225" t="inlineStr">
        <is>
          <t>7.25.00379</t>
        </is>
      </c>
      <c r="H225" t="inlineStr">
        <is>
          <t>Leads</t>
        </is>
      </c>
      <c r="I225" t="n">
        <v>0</v>
      </c>
      <c r="J225" t="n">
        <v>-133</v>
      </c>
      <c r="K225" t="inlineStr">
        <is>
          <t>Reach Truck 1.5 Ton (1 Unit) _ 1 Tahun _ Canvassing awal &amp; Sales Call</t>
        </is>
      </c>
      <c r="L225">
        <f>IF(AND(H225="Leads", J225&lt;=0), "OVERDUE (IDLE)", IF(AND(H225="Leads", J225&lt;=14), "WARNING (3-14 Days)", IF(AND(H225="Prospect", J225&lt;=0), "PROSPECT EXPIRED", "SAFE / ON TRACK")))</f>
        <v/>
      </c>
    </row>
    <row r="226">
      <c r="A226" t="inlineStr">
        <is>
          <t>Fuji</t>
        </is>
      </c>
      <c r="B226" t="inlineStr"/>
      <c r="C226" t="inlineStr">
        <is>
          <t>Andreas</t>
        </is>
      </c>
      <c r="D226" t="inlineStr">
        <is>
          <t>TRANSNATI</t>
        </is>
      </c>
      <c r="E226" t="inlineStr">
        <is>
          <t>PT TRANSNATIONAL SOLUTIONS</t>
        </is>
      </c>
      <c r="F226" t="inlineStr">
        <is>
          <t>S</t>
        </is>
      </c>
      <c r="G226" t="inlineStr">
        <is>
          <t>7.25.00423</t>
        </is>
      </c>
      <c r="H226" t="inlineStr">
        <is>
          <t>Leads</t>
        </is>
      </c>
      <c r="I226" t="n">
        <v>0</v>
      </c>
      <c r="J226" t="n">
        <v>-18</v>
      </c>
      <c r="K226" t="inlineStr">
        <is>
          <t>Reach Truck 1.5 Ton (1 Unit) _ 1 Tahun _ Canvassing awal &amp; Sales Call</t>
        </is>
      </c>
      <c r="L226">
        <f>IF(AND(H226="Leads", J226&lt;=0), "OVERDUE (IDLE)", IF(AND(H226="Leads", J226&lt;=14), "WARNING (3-14 Days)", IF(AND(H226="Prospect", J226&lt;=0), "PROSPECT EXPIRED", "SAFE / ON TRACK")))</f>
        <v/>
      </c>
    </row>
    <row r="227">
      <c r="A227" t="inlineStr">
        <is>
          <t>Fuji</t>
        </is>
      </c>
      <c r="B227" t="inlineStr"/>
      <c r="C227" t="inlineStr">
        <is>
          <t>Andreas</t>
        </is>
      </c>
      <c r="D227" t="inlineStr">
        <is>
          <t>SMPLUS</t>
        </is>
      </c>
      <c r="E227" t="inlineStr">
        <is>
          <t>PT SMPLUS DIGITAL INVESTAMA</t>
        </is>
      </c>
      <c r="F227" t="inlineStr">
        <is>
          <t>L</t>
        </is>
      </c>
      <c r="G227" t="inlineStr">
        <is>
          <t>7.26.00059</t>
        </is>
      </c>
      <c r="H227" t="inlineStr">
        <is>
          <t>Leads</t>
        </is>
      </c>
      <c r="I227" t="n">
        <v>0</v>
      </c>
      <c r="J227" t="n">
        <v>-69</v>
      </c>
      <c r="K227" t="inlineStr">
        <is>
          <t>Reach Truck 1.5 Ton (1 Unit) _ 1 Tahun _ Canvassing awal &amp; Sales Call</t>
        </is>
      </c>
      <c r="L227">
        <f>IF(AND(H227="Leads", J227&lt;=0), "OVERDUE (IDLE)", IF(AND(H227="Leads", J227&lt;=14), "WARNING (3-14 Days)", IF(AND(H227="Prospect", J227&lt;=0), "PROSPECT EXPIRED", "SAFE / ON TRACK")))</f>
        <v/>
      </c>
    </row>
    <row r="228">
      <c r="A228" t="inlineStr">
        <is>
          <t>Fuji</t>
        </is>
      </c>
      <c r="B228" t="inlineStr"/>
      <c r="C228" t="inlineStr">
        <is>
          <t>Andreas</t>
        </is>
      </c>
      <c r="D228" t="inlineStr">
        <is>
          <t>DSWS</t>
        </is>
      </c>
      <c r="E228" t="inlineStr">
        <is>
          <t>PT DIAN SWASTATIKA SENTOSA TBK</t>
        </is>
      </c>
      <c r="F228" t="inlineStr">
        <is>
          <t>L</t>
        </is>
      </c>
      <c r="G228" t="inlineStr">
        <is>
          <t>7.26.00074</t>
        </is>
      </c>
      <c r="H228" t="inlineStr">
        <is>
          <t>Leads</t>
        </is>
      </c>
      <c r="I228" t="n">
        <v>0</v>
      </c>
      <c r="J228" t="n">
        <v>29</v>
      </c>
      <c r="K228" t="inlineStr">
        <is>
          <t>Reach Truck 1.5 Ton (1 Unit) _ 1 Tahun _ Canvassing awal &amp; Sales Call</t>
        </is>
      </c>
      <c r="L228">
        <f>IF(AND(H228="Leads", J228&lt;=0), "OVERDUE (IDLE)", IF(AND(H228="Leads", J228&lt;=14), "WARNING (3-14 Days)", IF(AND(H228="Prospect", J228&lt;=0), "PROSPECT EXPIRED", "SAFE / ON TRACK")))</f>
        <v/>
      </c>
    </row>
    <row r="229">
      <c r="A229" t="inlineStr">
        <is>
          <t>Fuji</t>
        </is>
      </c>
      <c r="B229" t="inlineStr"/>
      <c r="C229" t="inlineStr">
        <is>
          <t>Andreas</t>
        </is>
      </c>
      <c r="D229" t="inlineStr">
        <is>
          <t>MHII</t>
        </is>
      </c>
      <c r="E229" t="inlineStr">
        <is>
          <t>PT MITSUBISHI HEAVY INDUSTRIES INDONESIA</t>
        </is>
      </c>
      <c r="F229" t="inlineStr">
        <is>
          <t>L</t>
        </is>
      </c>
      <c r="G229" t="inlineStr">
        <is>
          <t>7.26.00112</t>
        </is>
      </c>
      <c r="H229" t="inlineStr">
        <is>
          <t>Leads</t>
        </is>
      </c>
      <c r="I229" t="n">
        <v>0</v>
      </c>
      <c r="J229" t="n">
        <v>165</v>
      </c>
      <c r="K229" t="inlineStr">
        <is>
          <t>Reach Truck 1.5 Ton (1 Unit) _ 1 Tahun _ Canvassing awal &amp; Sales Call</t>
        </is>
      </c>
      <c r="L229">
        <f>IF(AND(H229="Leads", J229&lt;=0), "OVERDUE (IDLE)", IF(AND(H229="Leads", J229&lt;=14), "WARNING (3-14 Days)", IF(AND(H229="Prospect", J229&lt;=0), "PROSPECT EXPIRED", "SAFE / ON TRACK")))</f>
        <v/>
      </c>
    </row>
    <row r="230">
      <c r="A230" t="inlineStr">
        <is>
          <t>Fuji</t>
        </is>
      </c>
      <c r="B230" t="inlineStr"/>
      <c r="C230" t="inlineStr">
        <is>
          <t>Andreas</t>
        </is>
      </c>
      <c r="D230" t="inlineStr">
        <is>
          <t>COBELCO</t>
        </is>
      </c>
      <c r="E230" t="inlineStr">
        <is>
          <t>PT DAYA KOBELCO CONSTRUCTION MACHINERY INDONESIA</t>
        </is>
      </c>
      <c r="F230" t="inlineStr">
        <is>
          <t>L</t>
        </is>
      </c>
      <c r="G230" t="inlineStr">
        <is>
          <t>7.26.00219</t>
        </is>
      </c>
      <c r="H230" t="inlineStr">
        <is>
          <t>Prospect</t>
        </is>
      </c>
      <c r="I230" t="n">
        <v>10</v>
      </c>
      <c r="J230" t="n">
        <v>190</v>
      </c>
      <c r="K230" t="inlineStr">
        <is>
          <t>Forklift 3 Ton (2 Unit) _ 2 Tahun _ SPH Dikirim ke User</t>
        </is>
      </c>
      <c r="L230">
        <f>IF(AND(H230="Leads", J230&lt;=0), "OVERDUE (IDLE)", IF(AND(H230="Leads", J230&lt;=14), "WARNING (3-14 Days)", IF(AND(H230="Prospect", J230&lt;=0), "PROSPECT EXPIRED", "SAFE / ON TRACK")))</f>
        <v/>
      </c>
    </row>
    <row r="231">
      <c r="A231" t="inlineStr">
        <is>
          <t>Fuji</t>
        </is>
      </c>
      <c r="B231" t="inlineStr"/>
      <c r="C231" t="inlineStr">
        <is>
          <t>Andreas</t>
        </is>
      </c>
      <c r="D231" t="inlineStr">
        <is>
          <t>SCHNEIDERI</t>
        </is>
      </c>
      <c r="E231" t="inlineStr">
        <is>
          <t>PT SCHNEIDER INDONESIA</t>
        </is>
      </c>
      <c r="F231" t="inlineStr">
        <is>
          <t>L</t>
        </is>
      </c>
      <c r="G231" t="inlineStr">
        <is>
          <t>7.26.00223</t>
        </is>
      </c>
      <c r="H231" t="inlineStr">
        <is>
          <t>Leads</t>
        </is>
      </c>
      <c r="I231" t="n">
        <v>0</v>
      </c>
      <c r="J231" t="n">
        <v>51</v>
      </c>
      <c r="K231" t="inlineStr">
        <is>
          <t>Reach Truck 1.5 Ton (1 Unit) _ 1 Tahun _ Canvassing awal &amp; Sales Call</t>
        </is>
      </c>
      <c r="L231">
        <f>IF(AND(H231="Leads", J231&lt;=0), "OVERDUE (IDLE)", IF(AND(H231="Leads", J231&lt;=14), "WARNING (3-14 Days)", IF(AND(H231="Prospect", J231&lt;=0), "PROSPECT EXPIRED", "SAFE / ON TRACK")))</f>
        <v/>
      </c>
    </row>
    <row r="232">
      <c r="A232" t="inlineStr">
        <is>
          <t>Fuji</t>
        </is>
      </c>
      <c r="B232" t="inlineStr"/>
      <c r="C232" t="inlineStr">
        <is>
          <t>Andreas</t>
        </is>
      </c>
      <c r="D232" t="inlineStr">
        <is>
          <t>MATAPEL</t>
        </is>
      </c>
      <c r="E232" t="inlineStr">
        <is>
          <t>PT MATA PELANGI CHEMINDO</t>
        </is>
      </c>
      <c r="F232" t="inlineStr">
        <is>
          <t>L</t>
        </is>
      </c>
      <c r="G232" t="inlineStr">
        <is>
          <t>7.26.00250</t>
        </is>
      </c>
      <c r="H232" t="inlineStr">
        <is>
          <t>Leads</t>
        </is>
      </c>
      <c r="I232" t="n">
        <v>0</v>
      </c>
      <c r="J232" t="n">
        <v>59</v>
      </c>
      <c r="K232" t="inlineStr">
        <is>
          <t>Reach Truck 1.5 Ton (1 Unit) _ 1 Tahun _ Canvassing awal &amp; Sales Call</t>
        </is>
      </c>
      <c r="L232">
        <f>IF(AND(H232="Leads", J232&lt;=0), "OVERDUE (IDLE)", IF(AND(H232="Leads", J232&lt;=14), "WARNING (3-14 Days)", IF(AND(H232="Prospect", J232&lt;=0), "PROSPECT EXPIRED", "SAFE / ON TRACK")))</f>
        <v/>
      </c>
    </row>
    <row r="233">
      <c r="A233" t="inlineStr">
        <is>
          <t>Fuji</t>
        </is>
      </c>
      <c r="B233" t="inlineStr"/>
      <c r="C233" t="inlineStr">
        <is>
          <t>Andreas</t>
        </is>
      </c>
      <c r="D233" t="inlineStr">
        <is>
          <t>JGCID</t>
        </is>
      </c>
      <c r="E233" t="inlineStr">
        <is>
          <t>PT JGC INDONESIA</t>
        </is>
      </c>
      <c r="F233" t="inlineStr">
        <is>
          <t>L</t>
        </is>
      </c>
      <c r="G233" t="inlineStr">
        <is>
          <t>7.26.00253</t>
        </is>
      </c>
      <c r="H233" t="inlineStr">
        <is>
          <t>Leads</t>
        </is>
      </c>
      <c r="I233" t="n">
        <v>0</v>
      </c>
      <c r="J233" t="n">
        <v>63</v>
      </c>
      <c r="K233" t="inlineStr">
        <is>
          <t>Reach Truck 1.5 Ton (1 Unit) _ 1 Tahun _ Canvassing awal &amp; Sales Call</t>
        </is>
      </c>
      <c r="L233">
        <f>IF(AND(H233="Leads", J233&lt;=0), "OVERDUE (IDLE)", IF(AND(H233="Leads", J233&lt;=14), "WARNING (3-14 Days)", IF(AND(H233="Prospect", J233&lt;=0), "PROSPECT EXPIRED", "SAFE / ON TRACK")))</f>
        <v/>
      </c>
    </row>
    <row r="234">
      <c r="A234" t="inlineStr">
        <is>
          <t>Fuji</t>
        </is>
      </c>
      <c r="B234" t="inlineStr"/>
      <c r="C234" t="inlineStr">
        <is>
          <t>Andreas</t>
        </is>
      </c>
      <c r="D234" t="inlineStr">
        <is>
          <t>PERTSOLUSI</t>
        </is>
      </c>
      <c r="E234" t="inlineStr">
        <is>
          <t>PT PERMATA SOLUSINDO</t>
        </is>
      </c>
      <c r="F234" t="inlineStr">
        <is>
          <t>L</t>
        </is>
      </c>
      <c r="G234" t="inlineStr">
        <is>
          <t>7.26.00257</t>
        </is>
      </c>
      <c r="H234" t="inlineStr">
        <is>
          <t>Leads</t>
        </is>
      </c>
      <c r="I234" t="n">
        <v>0</v>
      </c>
      <c r="J234" t="n">
        <v>64</v>
      </c>
      <c r="K234" t="inlineStr">
        <is>
          <t>Reach Truck 1.5 Ton (1 Unit) _ 1 Tahun _ Canvassing awal &amp; Sales Call</t>
        </is>
      </c>
      <c r="L234">
        <f>IF(AND(H234="Leads", J234&lt;=0), "OVERDUE (IDLE)", IF(AND(H234="Leads", J234&lt;=14), "WARNING (3-14 Days)", IF(AND(H234="Prospect", J234&lt;=0), "PROSPECT EXPIRED", "SAFE / ON TRACK")))</f>
        <v/>
      </c>
    </row>
    <row r="235">
      <c r="A235" t="inlineStr">
        <is>
          <t>Fuji</t>
        </is>
      </c>
      <c r="B235" t="inlineStr"/>
      <c r="C235" t="inlineStr">
        <is>
          <t>Andreas</t>
        </is>
      </c>
      <c r="D235" t="inlineStr">
        <is>
          <t>PANBATAM</t>
        </is>
      </c>
      <c r="E235" t="inlineStr">
        <is>
          <t>PT PANTJA AGUNG NIAGA</t>
        </is>
      </c>
      <c r="F235" t="inlineStr">
        <is>
          <t>L</t>
        </is>
      </c>
      <c r="G235" t="inlineStr">
        <is>
          <t>7.26.00268</t>
        </is>
      </c>
      <c r="H235" t="inlineStr">
        <is>
          <t>Leads</t>
        </is>
      </c>
      <c r="I235" t="n">
        <v>0</v>
      </c>
      <c r="J235" t="n">
        <v>70</v>
      </c>
      <c r="K235" t="inlineStr">
        <is>
          <t>Reach Truck 1.5 Ton (1 Unit) _ 1 Tahun _ Canvassing awal &amp; Sales Call</t>
        </is>
      </c>
      <c r="L235">
        <f>IF(AND(H235="Leads", J235&lt;=0), "OVERDUE (IDLE)", IF(AND(H235="Leads", J235&lt;=14), "WARNING (3-14 Days)", IF(AND(H235="Prospect", J235&lt;=0), "PROSPECT EXPIRED", "SAFE / ON TRACK")))</f>
        <v/>
      </c>
    </row>
    <row r="236">
      <c r="A236" t="inlineStr">
        <is>
          <t>Fuji</t>
        </is>
      </c>
      <c r="B236" t="inlineStr"/>
      <c r="C236" t="inlineStr">
        <is>
          <t>Andreas</t>
        </is>
      </c>
      <c r="D236" t="inlineStr">
        <is>
          <t>SOLIDENERG</t>
        </is>
      </c>
      <c r="E236" t="inlineStr">
        <is>
          <t>PT SOLID ENERGI INTERNASIONAL</t>
        </is>
      </c>
      <c r="F236" t="inlineStr">
        <is>
          <t>L</t>
        </is>
      </c>
      <c r="G236" t="inlineStr">
        <is>
          <t>7.26.00294</t>
        </is>
      </c>
      <c r="H236" t="inlineStr">
        <is>
          <t>Leads</t>
        </is>
      </c>
      <c r="I236" t="n">
        <v>0</v>
      </c>
      <c r="J236" t="n">
        <v>168</v>
      </c>
      <c r="K236" t="inlineStr">
        <is>
          <t>Reach Truck 1.5 Ton (1 Unit) _ 1 Tahun _ Canvassing awal &amp; Sales Call</t>
        </is>
      </c>
      <c r="L236">
        <f>IF(AND(H236="Leads", J236&lt;=0), "OVERDUE (IDLE)", IF(AND(H236="Leads", J236&lt;=14), "WARNING (3-14 Days)", IF(AND(H236="Prospect", J236&lt;=0), "PROSPECT EXPIRED", "SAFE / ON TRACK")))</f>
        <v/>
      </c>
    </row>
    <row r="237">
      <c r="A237" t="inlineStr">
        <is>
          <t>Fuji</t>
        </is>
      </c>
      <c r="B237" t="inlineStr"/>
      <c r="C237" t="inlineStr">
        <is>
          <t>Andreas</t>
        </is>
      </c>
      <c r="D237" t="inlineStr">
        <is>
          <t>FONTBRAND</t>
        </is>
      </c>
      <c r="E237" t="inlineStr">
        <is>
          <t>PT FONTERRA BRANDS INDONESIA</t>
        </is>
      </c>
      <c r="F237" t="inlineStr">
        <is>
          <t>S</t>
        </is>
      </c>
      <c r="G237" t="inlineStr">
        <is>
          <t>7.26.00300</t>
        </is>
      </c>
      <c r="H237" t="inlineStr">
        <is>
          <t>Leads</t>
        </is>
      </c>
      <c r="I237" t="n">
        <v>0</v>
      </c>
      <c r="J237" t="n">
        <v>91</v>
      </c>
      <c r="K237" t="inlineStr">
        <is>
          <t>Reach Truck 1.5 Ton (1 Unit) _ 1 Tahun _ Canvassing awal &amp; Sales Call</t>
        </is>
      </c>
      <c r="L237">
        <f>IF(AND(H237="Leads", J237&lt;=0), "OVERDUE (IDLE)", IF(AND(H237="Leads", J237&lt;=14), "WARNING (3-14 Days)", IF(AND(H237="Prospect", J237&lt;=0), "PROSPECT EXPIRED", "SAFE / ON TRACK")))</f>
        <v/>
      </c>
    </row>
    <row r="238">
      <c r="A238" t="inlineStr">
        <is>
          <t>Fuji</t>
        </is>
      </c>
      <c r="B238" t="inlineStr"/>
      <c r="C238" t="inlineStr">
        <is>
          <t>Andreas</t>
        </is>
      </c>
      <c r="D238" t="inlineStr">
        <is>
          <t>HUABAOFOOD</t>
        </is>
      </c>
      <c r="E238" t="inlineStr">
        <is>
          <t>PT HUABAO FOOD TECHNOLOGY INDONESIA</t>
        </is>
      </c>
      <c r="F238" t="inlineStr">
        <is>
          <t>S</t>
        </is>
      </c>
      <c r="G238" t="inlineStr">
        <is>
          <t>7.26.00321</t>
        </is>
      </c>
      <c r="H238" t="inlineStr">
        <is>
          <t>Leads</t>
        </is>
      </c>
      <c r="I238" t="n">
        <v>0</v>
      </c>
      <c r="J238" t="n">
        <v>107</v>
      </c>
      <c r="K238" t="inlineStr">
        <is>
          <t>Reach Truck 1.5 Ton (1 Unit) _ 1 Tahun _ Canvassing awal &amp; Sales Call</t>
        </is>
      </c>
      <c r="L238">
        <f>IF(AND(H238="Leads", J238&lt;=0), "OVERDUE (IDLE)", IF(AND(H238="Leads", J238&lt;=14), "WARNING (3-14 Days)", IF(AND(H238="Prospect", J238&lt;=0), "PROSPECT EXPIRED", "SAFE / ON TRACK")))</f>
        <v/>
      </c>
    </row>
    <row r="239">
      <c r="A239" t="inlineStr">
        <is>
          <t>Fuji</t>
        </is>
      </c>
      <c r="B239" t="inlineStr"/>
      <c r="C239" t="inlineStr">
        <is>
          <t>Andreas</t>
        </is>
      </c>
      <c r="D239" t="inlineStr">
        <is>
          <t>EASTEFLOUR</t>
        </is>
      </c>
      <c r="E239" t="inlineStr">
        <is>
          <t>PT EASTERN PEARL FLOUR MILLS</t>
        </is>
      </c>
      <c r="F239" t="inlineStr">
        <is>
          <t>L</t>
        </is>
      </c>
      <c r="G239" t="inlineStr">
        <is>
          <t>7.26.00322</t>
        </is>
      </c>
      <c r="H239" t="inlineStr">
        <is>
          <t>Prospect</t>
        </is>
      </c>
      <c r="I239" t="n">
        <v>85</v>
      </c>
      <c r="J239" t="n">
        <v>265</v>
      </c>
      <c r="K239" t="inlineStr">
        <is>
          <t>Forklift 3 Ton (2 Unit) _ 2 Tahun _ SPH Dikirim ke User</t>
        </is>
      </c>
      <c r="L239">
        <f>IF(AND(H239="Leads", J239&lt;=0), "OVERDUE (IDLE)", IF(AND(H239="Leads", J239&lt;=14), "WARNING (3-14 Days)", IF(AND(H239="Prospect", J239&lt;=0), "PROSPECT EXPIRED", "SAFE / ON TRACK")))</f>
        <v/>
      </c>
    </row>
    <row r="240">
      <c r="A240" t="inlineStr">
        <is>
          <t>Fuji</t>
        </is>
      </c>
      <c r="B240" t="inlineStr"/>
      <c r="C240" t="inlineStr">
        <is>
          <t>Andreas</t>
        </is>
      </c>
      <c r="D240" t="inlineStr">
        <is>
          <t>ISTA</t>
        </is>
      </c>
      <c r="E240" t="inlineStr">
        <is>
          <t>PT ISTA INDONESIA</t>
        </is>
      </c>
      <c r="F240" t="inlineStr">
        <is>
          <t>L</t>
        </is>
      </c>
      <c r="G240" t="inlineStr">
        <is>
          <t>7.26.00343</t>
        </is>
      </c>
      <c r="H240" t="inlineStr">
        <is>
          <t>Prospect</t>
        </is>
      </c>
      <c r="I240" t="n">
        <v>87</v>
      </c>
      <c r="J240" t="n">
        <v>267</v>
      </c>
      <c r="K240" t="inlineStr">
        <is>
          <t>Forklift 3 Ton (2 Unit) _ 2 Tahun _ SPH Dikirim ke User</t>
        </is>
      </c>
      <c r="L240">
        <f>IF(AND(H240="Leads", J240&lt;=0), "OVERDUE (IDLE)", IF(AND(H240="Leads", J240&lt;=14), "WARNING (3-14 Days)", IF(AND(H240="Prospect", J240&lt;=0), "PROSPECT EXPIRED", "SAFE / ON TRACK")))</f>
        <v/>
      </c>
    </row>
    <row r="241">
      <c r="A241" t="inlineStr">
        <is>
          <t>Fuji</t>
        </is>
      </c>
      <c r="B241" t="inlineStr"/>
      <c r="C241" t="inlineStr">
        <is>
          <t>Andreas</t>
        </is>
      </c>
      <c r="D241" t="inlineStr">
        <is>
          <t>IPSOSINDO</t>
        </is>
      </c>
      <c r="E241" t="inlineStr">
        <is>
          <t>PT IPSOS MARKET RESEARCH</t>
        </is>
      </c>
      <c r="F241" t="inlineStr">
        <is>
          <t>L</t>
        </is>
      </c>
      <c r="G241" t="inlineStr">
        <is>
          <t>7.26.00348</t>
        </is>
      </c>
      <c r="H241" t="inlineStr">
        <is>
          <t>Leads</t>
        </is>
      </c>
      <c r="I241" t="n">
        <v>0</v>
      </c>
      <c r="J241" t="n">
        <v>22</v>
      </c>
      <c r="K241" t="inlineStr">
        <is>
          <t>Reach Truck 1.5 Ton (1 Unit) _ 1 Tahun _ Canvassing awal &amp; Sales Call</t>
        </is>
      </c>
      <c r="L241">
        <f>IF(AND(H241="Leads", J241&lt;=0), "OVERDUE (IDLE)", IF(AND(H241="Leads", J241&lt;=14), "WARNING (3-14 Days)", IF(AND(H241="Prospect", J241&lt;=0), "PROSPECT EXPIRED", "SAFE / ON TRACK")))</f>
        <v/>
      </c>
    </row>
    <row r="242">
      <c r="A242" t="inlineStr">
        <is>
          <t>Fuji</t>
        </is>
      </c>
      <c r="B242" t="inlineStr"/>
      <c r="C242" t="inlineStr">
        <is>
          <t>Andreas</t>
        </is>
      </c>
      <c r="D242" t="inlineStr">
        <is>
          <t>ZEIGLERIND</t>
        </is>
      </c>
      <c r="E242" t="inlineStr">
        <is>
          <t>PT ZIEGLER INDONESIA</t>
        </is>
      </c>
      <c r="F242" t="inlineStr">
        <is>
          <t>M</t>
        </is>
      </c>
      <c r="G242" t="inlineStr">
        <is>
          <t>7.26.00404</t>
        </is>
      </c>
      <c r="H242" t="inlineStr">
        <is>
          <t>Leads</t>
        </is>
      </c>
      <c r="I242" t="n">
        <v>0</v>
      </c>
      <c r="J242" t="n">
        <v>29</v>
      </c>
      <c r="K242" t="inlineStr">
        <is>
          <t>Reach Truck 1.5 Ton (1 Unit) _ 1 Tahun _ Canvassing awal &amp; Sales Call</t>
        </is>
      </c>
      <c r="L242">
        <f>IF(AND(H242="Leads", J242&lt;=0), "OVERDUE (IDLE)", IF(AND(H242="Leads", J242&lt;=14), "WARNING (3-14 Days)", IF(AND(H242="Prospect", J242&lt;=0), "PROSPECT EXPIRED", "SAFE / ON TRACK")))</f>
        <v/>
      </c>
    </row>
    <row r="243">
      <c r="A243" t="inlineStr">
        <is>
          <t>Fuji</t>
        </is>
      </c>
      <c r="B243" t="inlineStr"/>
      <c r="C243" t="inlineStr">
        <is>
          <t>Andreas</t>
        </is>
      </c>
      <c r="D243" t="inlineStr">
        <is>
          <t>UMA</t>
        </is>
      </c>
      <c r="E243" t="inlineStr">
        <is>
          <t>UTAMA METAL ABADI</t>
        </is>
      </c>
      <c r="F243" t="inlineStr"/>
      <c r="G243" t="inlineStr">
        <is>
          <t>7.26.00422</t>
        </is>
      </c>
      <c r="H243" t="inlineStr">
        <is>
          <t>Leads</t>
        </is>
      </c>
      <c r="I243" t="n">
        <v>0</v>
      </c>
      <c r="J243" t="n">
        <v>29</v>
      </c>
      <c r="K243" t="inlineStr">
        <is>
          <t>Reach Truck 1.5 Ton (1 Unit) _ 1 Tahun _ Canvassing awal &amp; Sales Call</t>
        </is>
      </c>
      <c r="L243">
        <f>IF(AND(H243="Leads", J243&lt;=0), "OVERDUE (IDLE)", IF(AND(H243="Leads", J243&lt;=14), "WARNING (3-14 Days)", IF(AND(H243="Prospect", J243&lt;=0), "PROSPECT EXPIRED", "SAFE / ON TRACK")))</f>
        <v/>
      </c>
    </row>
    <row r="244">
      <c r="A244" t="inlineStr">
        <is>
          <t>Fuji</t>
        </is>
      </c>
      <c r="B244" t="inlineStr"/>
      <c r="C244" t="inlineStr">
        <is>
          <t>Andreas</t>
        </is>
      </c>
      <c r="D244" t="inlineStr">
        <is>
          <t>TANLESPULP</t>
        </is>
      </c>
      <c r="E244" t="inlineStr">
        <is>
          <t>PT TANJUNGENIM LESTARI PULP AND PAPER</t>
        </is>
      </c>
      <c r="F244" t="inlineStr">
        <is>
          <t>M</t>
        </is>
      </c>
      <c r="G244" t="inlineStr">
        <is>
          <t>7.26.00433</t>
        </is>
      </c>
      <c r="H244" t="inlineStr">
        <is>
          <t>Leads</t>
        </is>
      </c>
      <c r="I244" t="n">
        <v>0</v>
      </c>
      <c r="J244" t="n">
        <v>29</v>
      </c>
      <c r="K244" t="inlineStr">
        <is>
          <t>Reach Truck 1.5 Ton (1 Unit) _ 1 Tahun _ Canvassing awal &amp; Sales Call</t>
        </is>
      </c>
      <c r="L244">
        <f>IF(AND(H244="Leads", J244&lt;=0), "OVERDUE (IDLE)", IF(AND(H244="Leads", J244&lt;=14), "WARNING (3-14 Days)", IF(AND(H244="Prospect", J244&lt;=0), "PROSPECT EXPIRED", "SAFE / ON TRACK")))</f>
        <v/>
      </c>
    </row>
    <row r="245">
      <c r="A245" t="inlineStr">
        <is>
          <t>Fuji</t>
        </is>
      </c>
      <c r="B245" t="inlineStr"/>
      <c r="C245" t="inlineStr">
        <is>
          <t>Andreas</t>
        </is>
      </c>
      <c r="D245" t="inlineStr">
        <is>
          <t>SUMATERA</t>
        </is>
      </c>
      <c r="E245" t="inlineStr">
        <is>
          <t>SUMATERA RIANG LESTARI</t>
        </is>
      </c>
      <c r="F245" t="inlineStr"/>
      <c r="G245" t="inlineStr">
        <is>
          <t>7.26.00438</t>
        </is>
      </c>
      <c r="H245" t="inlineStr">
        <is>
          <t>Leads</t>
        </is>
      </c>
      <c r="I245" t="n">
        <v>0</v>
      </c>
      <c r="J245" t="n">
        <v>29</v>
      </c>
      <c r="K245" t="inlineStr">
        <is>
          <t>Reach Truck 1.5 Ton (1 Unit) _ 1 Tahun _ Canvassing awal &amp; Sales Call</t>
        </is>
      </c>
      <c r="L245">
        <f>IF(AND(H245="Leads", J245&lt;=0), "OVERDUE (IDLE)", IF(AND(H245="Leads", J245&lt;=14), "WARNING (3-14 Days)", IF(AND(H245="Prospect", J245&lt;=0), "PROSPECT EXPIRED", "SAFE / ON TRACK")))</f>
        <v/>
      </c>
    </row>
    <row r="246">
      <c r="A246" t="inlineStr">
        <is>
          <t>Fuji</t>
        </is>
      </c>
      <c r="B246" t="inlineStr"/>
      <c r="C246" t="inlineStr">
        <is>
          <t>Andreas</t>
        </is>
      </c>
      <c r="D246" t="inlineStr">
        <is>
          <t>SHKG</t>
        </is>
      </c>
      <c r="E246" t="inlineStr">
        <is>
          <t>PT SHINKO KOGYO INDONESIA</t>
        </is>
      </c>
      <c r="F246" t="inlineStr">
        <is>
          <t>S</t>
        </is>
      </c>
      <c r="G246" t="inlineStr">
        <is>
          <t>7.26.00447</t>
        </is>
      </c>
      <c r="H246" t="inlineStr">
        <is>
          <t>Leads</t>
        </is>
      </c>
      <c r="I246" t="n">
        <v>0</v>
      </c>
      <c r="J246" t="n">
        <v>29</v>
      </c>
      <c r="K246" t="inlineStr">
        <is>
          <t>Reach Truck 1.5 Ton (1 Unit) _ 1 Tahun _ Canvassing awal &amp; Sales Call</t>
        </is>
      </c>
      <c r="L246">
        <f>IF(AND(H246="Leads", J246&lt;=0), "OVERDUE (IDLE)", IF(AND(H246="Leads", J246&lt;=14), "WARNING (3-14 Days)", IF(AND(H246="Prospect", J246&lt;=0), "PROSPECT EXPIRED", "SAFE / ON TRACK")))</f>
        <v/>
      </c>
    </row>
    <row r="247">
      <c r="A247" t="inlineStr">
        <is>
          <t>Fuji</t>
        </is>
      </c>
      <c r="B247" t="inlineStr"/>
      <c r="C247" t="inlineStr">
        <is>
          <t>Andreas</t>
        </is>
      </c>
      <c r="D247" t="inlineStr">
        <is>
          <t>RKYSACKRW</t>
        </is>
      </c>
      <c r="E247" t="inlineStr">
        <is>
          <t>REKAYASA CAKRAWALA RESOURCES</t>
        </is>
      </c>
      <c r="F247" t="inlineStr">
        <is>
          <t>S</t>
        </is>
      </c>
      <c r="G247" t="inlineStr">
        <is>
          <t>7.26.00454</t>
        </is>
      </c>
      <c r="H247" t="inlineStr">
        <is>
          <t>Leads</t>
        </is>
      </c>
      <c r="I247" t="n">
        <v>0</v>
      </c>
      <c r="J247" t="n">
        <v>29</v>
      </c>
      <c r="K247" t="inlineStr">
        <is>
          <t>Reach Truck 1.5 Ton (1 Unit) _ 1 Tahun _ Canvassing awal &amp; Sales Call</t>
        </is>
      </c>
      <c r="L247">
        <f>IF(AND(H247="Leads", J247&lt;=0), "OVERDUE (IDLE)", IF(AND(H247="Leads", J247&lt;=14), "WARNING (3-14 Days)", IF(AND(H247="Prospect", J247&lt;=0), "PROSPECT EXPIRED", "SAFE / ON TRACK")))</f>
        <v/>
      </c>
    </row>
    <row r="248">
      <c r="A248" t="inlineStr">
        <is>
          <t>Fuji</t>
        </is>
      </c>
      <c r="B248" t="inlineStr"/>
      <c r="C248" t="inlineStr">
        <is>
          <t>Andreas</t>
        </is>
      </c>
      <c r="D248" t="inlineStr">
        <is>
          <t>NEC</t>
        </is>
      </c>
      <c r="E248" t="inlineStr">
        <is>
          <t>NEC INDONESIA</t>
        </is>
      </c>
      <c r="F248" t="inlineStr"/>
      <c r="G248" t="inlineStr">
        <is>
          <t>7.26.00474</t>
        </is>
      </c>
      <c r="H248" t="inlineStr">
        <is>
          <t>Leads</t>
        </is>
      </c>
      <c r="I248" t="n">
        <v>0</v>
      </c>
      <c r="J248" t="n">
        <v>29</v>
      </c>
      <c r="K248" t="inlineStr">
        <is>
          <t>Reach Truck 1.5 Ton (1 Unit) _ 1 Tahun _ Canvassing awal &amp; Sales Call</t>
        </is>
      </c>
      <c r="L248">
        <f>IF(AND(H248="Leads", J248&lt;=0), "OVERDUE (IDLE)", IF(AND(H248="Leads", J248&lt;=14), "WARNING (3-14 Days)", IF(AND(H248="Prospect", J248&lt;=0), "PROSPECT EXPIRED", "SAFE / ON TRACK")))</f>
        <v/>
      </c>
    </row>
    <row r="249">
      <c r="A249" t="inlineStr">
        <is>
          <t>Fuji</t>
        </is>
      </c>
      <c r="B249" t="inlineStr"/>
      <c r="C249" t="inlineStr">
        <is>
          <t>Andreas</t>
        </is>
      </c>
      <c r="D249" t="inlineStr">
        <is>
          <t>ZOOMINHEAV</t>
        </is>
      </c>
      <c r="E249" t="inlineStr">
        <is>
          <t>ZOOMLION INDONESIA HEAVY INDUSTRY</t>
        </is>
      </c>
      <c r="F249" t="inlineStr">
        <is>
          <t>M</t>
        </is>
      </c>
      <c r="G249" t="inlineStr">
        <is>
          <t>7.26.00512</t>
        </is>
      </c>
      <c r="H249" t="inlineStr">
        <is>
          <t>Leads</t>
        </is>
      </c>
      <c r="I249" t="n">
        <v>0</v>
      </c>
      <c r="J249" t="n">
        <v>36</v>
      </c>
      <c r="K249" t="inlineStr">
        <is>
          <t>Reach Truck 1.5 Ton (1 Unit) _ 1 Tahun _ Canvassing awal &amp; Sales Call</t>
        </is>
      </c>
      <c r="L249">
        <f>IF(AND(H249="Leads", J249&lt;=0), "OVERDUE (IDLE)", IF(AND(H249="Leads", J249&lt;=14), "WARNING (3-14 Days)", IF(AND(H249="Prospect", J249&lt;=0), "PROSPECT EXPIRED", "SAFE / ON TRACK")))</f>
        <v/>
      </c>
    </row>
    <row r="250">
      <c r="A250" t="inlineStr">
        <is>
          <t>Fuji</t>
        </is>
      </c>
      <c r="B250" t="inlineStr"/>
      <c r="C250" t="inlineStr">
        <is>
          <t>Andreas</t>
        </is>
      </c>
      <c r="D250" t="inlineStr">
        <is>
          <t>WETRUCK</t>
        </is>
      </c>
      <c r="E250" t="inlineStr">
        <is>
          <t>WETRUCK TRANSPORTASI MANDIRI</t>
        </is>
      </c>
      <c r="F250" t="inlineStr">
        <is>
          <t>S</t>
        </is>
      </c>
      <c r="G250" t="inlineStr">
        <is>
          <t>7.26.00520</t>
        </is>
      </c>
      <c r="H250" t="inlineStr">
        <is>
          <t>Leads</t>
        </is>
      </c>
      <c r="I250" t="n">
        <v>0</v>
      </c>
      <c r="J250" t="n">
        <v>36</v>
      </c>
      <c r="K250" t="inlineStr">
        <is>
          <t>Reach Truck 1.5 Ton (1 Unit) _ 1 Tahun _ Canvassing awal &amp; Sales Call</t>
        </is>
      </c>
      <c r="L250">
        <f>IF(AND(H250="Leads", J250&lt;=0), "OVERDUE (IDLE)", IF(AND(H250="Leads", J250&lt;=14), "WARNING (3-14 Days)", IF(AND(H250="Prospect", J250&lt;=0), "PROSPECT EXPIRED", "SAFE / ON TRACK")))</f>
        <v/>
      </c>
    </row>
    <row r="251">
      <c r="A251" t="inlineStr">
        <is>
          <t>Fuji</t>
        </is>
      </c>
      <c r="B251" t="inlineStr"/>
      <c r="C251" t="inlineStr">
        <is>
          <t>Andreas</t>
        </is>
      </c>
      <c r="D251" t="inlineStr">
        <is>
          <t>JAYAOBASHI</t>
        </is>
      </c>
      <c r="E251" t="inlineStr">
        <is>
          <t>JAYA OBAYASHI</t>
        </is>
      </c>
      <c r="F251" t="inlineStr">
        <is>
          <t>S</t>
        </is>
      </c>
      <c r="G251" t="inlineStr">
        <is>
          <t>7.26.00521</t>
        </is>
      </c>
      <c r="H251" t="inlineStr">
        <is>
          <t>Leads</t>
        </is>
      </c>
      <c r="I251" t="n">
        <v>0</v>
      </c>
      <c r="J251" t="n">
        <v>36</v>
      </c>
      <c r="K251" t="inlineStr">
        <is>
          <t>Reach Truck 1.5 Ton (1 Unit) _ 1 Tahun _ Canvassing awal &amp; Sales Call</t>
        </is>
      </c>
      <c r="L251">
        <f>IF(AND(H251="Leads", J251&lt;=0), "OVERDUE (IDLE)", IF(AND(H251="Leads", J251&lt;=14), "WARNING (3-14 Days)", IF(AND(H251="Prospect", J251&lt;=0), "PROSPECT EXPIRED", "SAFE / ON TRACK")))</f>
        <v/>
      </c>
    </row>
    <row r="252">
      <c r="A252" t="inlineStr">
        <is>
          <t>Fuji</t>
        </is>
      </c>
      <c r="B252" t="inlineStr"/>
      <c r="C252" t="inlineStr">
        <is>
          <t>Andreas</t>
        </is>
      </c>
      <c r="D252" t="inlineStr">
        <is>
          <t>UPP</t>
        </is>
      </c>
      <c r="E252" t="inlineStr">
        <is>
          <t>UNGGUL PRAKARSA PRIMA</t>
        </is>
      </c>
      <c r="F252" t="inlineStr"/>
      <c r="G252" t="inlineStr">
        <is>
          <t>7.26.00523</t>
        </is>
      </c>
      <c r="H252" t="inlineStr">
        <is>
          <t>Leads</t>
        </is>
      </c>
      <c r="I252" t="n">
        <v>0</v>
      </c>
      <c r="J252" t="n">
        <v>36</v>
      </c>
      <c r="K252" t="inlineStr">
        <is>
          <t>Reach Truck 1.5 Ton (1 Unit) _ 1 Tahun _ Canvassing awal &amp; Sales Call</t>
        </is>
      </c>
      <c r="L252">
        <f>IF(AND(H252="Leads", J252&lt;=0), "OVERDUE (IDLE)", IF(AND(H252="Leads", J252&lt;=14), "WARNING (3-14 Days)", IF(AND(H252="Prospect", J252&lt;=0), "PROSPECT EXPIRED", "SAFE / ON TRACK")))</f>
        <v/>
      </c>
    </row>
    <row r="253">
      <c r="A253" t="inlineStr">
        <is>
          <t>Fuji</t>
        </is>
      </c>
      <c r="B253" t="inlineStr"/>
      <c r="C253" t="inlineStr">
        <is>
          <t>Andreas</t>
        </is>
      </c>
      <c r="D253" t="inlineStr">
        <is>
          <t>UJPK</t>
        </is>
      </c>
      <c r="E253" t="inlineStr">
        <is>
          <t>USAHA JAYA PRIMA KARYA</t>
        </is>
      </c>
      <c r="F253" t="inlineStr"/>
      <c r="G253" t="inlineStr">
        <is>
          <t>7.26.00525</t>
        </is>
      </c>
      <c r="H253" t="inlineStr">
        <is>
          <t>Leads</t>
        </is>
      </c>
      <c r="I253" t="n">
        <v>0</v>
      </c>
      <c r="J253" t="n">
        <v>36</v>
      </c>
      <c r="K253" t="inlineStr">
        <is>
          <t>Reach Truck 1.5 Ton (1 Unit) _ 1 Tahun _ Canvassing awal &amp; Sales Call</t>
        </is>
      </c>
      <c r="L253">
        <f>IF(AND(H253="Leads", J253&lt;=0), "OVERDUE (IDLE)", IF(AND(H253="Leads", J253&lt;=14), "WARNING (3-14 Days)", IF(AND(H253="Prospect", J253&lt;=0), "PROSPECT EXPIRED", "SAFE / ON TRACK")))</f>
        <v/>
      </c>
    </row>
    <row r="254">
      <c r="A254" t="inlineStr">
        <is>
          <t>Fuji</t>
        </is>
      </c>
      <c r="B254" t="inlineStr"/>
      <c r="C254" t="inlineStr">
        <is>
          <t>Andreas</t>
        </is>
      </c>
      <c r="D254" t="inlineStr">
        <is>
          <t>TOYOBO</t>
        </is>
      </c>
      <c r="E254" t="inlineStr">
        <is>
          <t>INDONESIA TOYOBO FILM SOLUTIONS</t>
        </is>
      </c>
      <c r="F254" t="inlineStr"/>
      <c r="G254" t="inlineStr">
        <is>
          <t>7.26.00529</t>
        </is>
      </c>
      <c r="H254" t="inlineStr">
        <is>
          <t>Leads</t>
        </is>
      </c>
      <c r="I254" t="n">
        <v>0</v>
      </c>
      <c r="J254" t="n">
        <v>36</v>
      </c>
      <c r="K254" t="inlineStr">
        <is>
          <t>Reach Truck 1.5 Ton (1 Unit) _ 1 Tahun _ Canvassing awal &amp; Sales Call</t>
        </is>
      </c>
      <c r="L254">
        <f>IF(AND(H254="Leads", J254&lt;=0), "OVERDUE (IDLE)", IF(AND(H254="Leads", J254&lt;=14), "WARNING (3-14 Days)", IF(AND(H254="Prospect", J254&lt;=0), "PROSPECT EXPIRED", "SAFE / ON TRACK")))</f>
        <v/>
      </c>
    </row>
    <row r="255">
      <c r="A255" t="inlineStr">
        <is>
          <t>Fuji</t>
        </is>
      </c>
      <c r="B255" t="inlineStr"/>
      <c r="C255" t="inlineStr">
        <is>
          <t>Andreas</t>
        </is>
      </c>
      <c r="D255" t="inlineStr">
        <is>
          <t>TITNS</t>
        </is>
      </c>
      <c r="E255" t="inlineStr">
        <is>
          <t>TIRTA INVESTAMA</t>
        </is>
      </c>
      <c r="F255" t="inlineStr"/>
      <c r="G255" t="inlineStr">
        <is>
          <t>7.26.00538</t>
        </is>
      </c>
      <c r="H255" t="inlineStr">
        <is>
          <t>Leads</t>
        </is>
      </c>
      <c r="I255" t="n">
        <v>0</v>
      </c>
      <c r="J255" t="n">
        <v>36</v>
      </c>
      <c r="K255" t="inlineStr">
        <is>
          <t>Reach Truck 1.5 Ton (1 Unit) _ 1 Tahun _ Canvassing awal &amp; Sales Call</t>
        </is>
      </c>
      <c r="L255">
        <f>IF(AND(H255="Leads", J255&lt;=0), "OVERDUE (IDLE)", IF(AND(H255="Leads", J255&lt;=14), "WARNING (3-14 Days)", IF(AND(H255="Prospect", J255&lt;=0), "PROSPECT EXPIRED", "SAFE / ON TRACK")))</f>
        <v/>
      </c>
    </row>
    <row r="256">
      <c r="A256" t="inlineStr">
        <is>
          <t>Fuji</t>
        </is>
      </c>
      <c r="B256" t="inlineStr"/>
      <c r="C256" t="inlineStr">
        <is>
          <t>Andreas</t>
        </is>
      </c>
      <c r="D256" t="inlineStr">
        <is>
          <t>TIRTA</t>
        </is>
      </c>
      <c r="E256" t="inlineStr">
        <is>
          <t>TIRTA ALAM SEGAR</t>
        </is>
      </c>
      <c r="F256" t="inlineStr"/>
      <c r="G256" t="inlineStr">
        <is>
          <t>7.26.00539</t>
        </is>
      </c>
      <c r="H256" t="inlineStr">
        <is>
          <t>Leads</t>
        </is>
      </c>
      <c r="I256" t="n">
        <v>0</v>
      </c>
      <c r="J256" t="n">
        <v>36</v>
      </c>
      <c r="K256" t="inlineStr">
        <is>
          <t>Reach Truck 1.5 Ton (1 Unit) _ 1 Tahun _ Canvassing awal &amp; Sales Call</t>
        </is>
      </c>
      <c r="L256">
        <f>IF(AND(H256="Leads", J256&lt;=0), "OVERDUE (IDLE)", IF(AND(H256="Leads", J256&lt;=14), "WARNING (3-14 Days)", IF(AND(H256="Prospect", J256&lt;=0), "PROSPECT EXPIRED", "SAFE / ON TRACK")))</f>
        <v/>
      </c>
    </row>
    <row r="257">
      <c r="A257" t="inlineStr">
        <is>
          <t>Fuji</t>
        </is>
      </c>
      <c r="B257" t="inlineStr"/>
      <c r="C257" t="inlineStr">
        <is>
          <t>Andreas</t>
        </is>
      </c>
      <c r="D257" t="inlineStr">
        <is>
          <t>TENPO</t>
        </is>
      </c>
      <c r="E257" t="inlineStr">
        <is>
          <t>TENPO PLANNING</t>
        </is>
      </c>
      <c r="F257" t="inlineStr"/>
      <c r="G257" t="inlineStr">
        <is>
          <t>7.26.00540</t>
        </is>
      </c>
      <c r="H257" t="inlineStr">
        <is>
          <t>Leads</t>
        </is>
      </c>
      <c r="I257" t="n">
        <v>0</v>
      </c>
      <c r="J257" t="n">
        <v>36</v>
      </c>
      <c r="K257" t="inlineStr">
        <is>
          <t>Reach Truck 1.5 Ton (1 Unit) _ 1 Tahun _ Canvassing awal &amp; Sales Call</t>
        </is>
      </c>
      <c r="L257">
        <f>IF(AND(H257="Leads", J257&lt;=0), "OVERDUE (IDLE)", IF(AND(H257="Leads", J257&lt;=14), "WARNING (3-14 Days)", IF(AND(H257="Prospect", J257&lt;=0), "PROSPECT EXPIRED", "SAFE / ON TRACK")))</f>
        <v/>
      </c>
    </row>
    <row r="258">
      <c r="A258" t="inlineStr">
        <is>
          <t>Fuji</t>
        </is>
      </c>
      <c r="B258" t="inlineStr"/>
      <c r="C258" t="inlineStr">
        <is>
          <t>Andreas</t>
        </is>
      </c>
      <c r="D258" t="inlineStr">
        <is>
          <t>TATAMULIA</t>
        </is>
      </c>
      <c r="E258" t="inlineStr">
        <is>
          <t>TATAMULIA NUSANTARA INDAH</t>
        </is>
      </c>
      <c r="F258" t="inlineStr"/>
      <c r="G258" t="inlineStr">
        <is>
          <t>7.26.00541</t>
        </is>
      </c>
      <c r="H258" t="inlineStr">
        <is>
          <t>Leads</t>
        </is>
      </c>
      <c r="I258" t="n">
        <v>0</v>
      </c>
      <c r="J258" t="n">
        <v>36</v>
      </c>
      <c r="K258" t="inlineStr">
        <is>
          <t>Reach Truck 1.5 Ton (1 Unit) _ 1 Tahun _ Canvassing awal &amp; Sales Call</t>
        </is>
      </c>
      <c r="L258">
        <f>IF(AND(H258="Leads", J258&lt;=0), "OVERDUE (IDLE)", IF(AND(H258="Leads", J258&lt;=14), "WARNING (3-14 Days)", IF(AND(H258="Prospect", J258&lt;=0), "PROSPECT EXPIRED", "SAFE / ON TRACK")))</f>
        <v/>
      </c>
    </row>
    <row r="259">
      <c r="A259" t="inlineStr">
        <is>
          <t>Fuji</t>
        </is>
      </c>
      <c r="B259" t="inlineStr"/>
      <c r="C259" t="inlineStr">
        <is>
          <t>Andreas</t>
        </is>
      </c>
      <c r="D259" t="inlineStr">
        <is>
          <t>TANPUTERA</t>
        </is>
      </c>
      <c r="E259" t="inlineStr">
        <is>
          <t>TAN PUTRA TAMA</t>
        </is>
      </c>
      <c r="F259" t="inlineStr">
        <is>
          <t>S</t>
        </is>
      </c>
      <c r="G259" t="inlineStr">
        <is>
          <t>7.26.00542</t>
        </is>
      </c>
      <c r="H259" t="inlineStr">
        <is>
          <t>Leads</t>
        </is>
      </c>
      <c r="I259" t="n">
        <v>0</v>
      </c>
      <c r="J259" t="n">
        <v>36</v>
      </c>
      <c r="K259" t="inlineStr">
        <is>
          <t>Reach Truck 1.5 Ton (1 Unit) _ 1 Tahun _ Canvassing awal &amp; Sales Call</t>
        </is>
      </c>
      <c r="L259">
        <f>IF(AND(H259="Leads", J259&lt;=0), "OVERDUE (IDLE)", IF(AND(H259="Leads", J259&lt;=14), "WARNING (3-14 Days)", IF(AND(H259="Prospect", J259&lt;=0), "PROSPECT EXPIRED", "SAFE / ON TRACK")))</f>
        <v/>
      </c>
    </row>
    <row r="260">
      <c r="A260" t="inlineStr">
        <is>
          <t>Fuji</t>
        </is>
      </c>
      <c r="B260" t="inlineStr"/>
      <c r="C260" t="inlineStr">
        <is>
          <t>Andreas</t>
        </is>
      </c>
      <c r="D260" t="inlineStr">
        <is>
          <t>SPIJ</t>
        </is>
      </c>
      <c r="E260" t="inlineStr">
        <is>
          <t>TENARIS SEAMLESS PIPE INDONESIA JAYA</t>
        </is>
      </c>
      <c r="F260" t="inlineStr"/>
      <c r="G260" t="inlineStr">
        <is>
          <t>7.26.00553</t>
        </is>
      </c>
      <c r="H260" t="inlineStr">
        <is>
          <t>Leads</t>
        </is>
      </c>
      <c r="I260" t="n">
        <v>0</v>
      </c>
      <c r="J260" t="n">
        <v>36</v>
      </c>
      <c r="K260" t="inlineStr">
        <is>
          <t>Reach Truck 1.5 Ton (1 Unit) _ 1 Tahun _ Canvassing awal &amp; Sales Call</t>
        </is>
      </c>
      <c r="L260">
        <f>IF(AND(H260="Leads", J260&lt;=0), "OVERDUE (IDLE)", IF(AND(H260="Leads", J260&lt;=14), "WARNING (3-14 Days)", IF(AND(H260="Prospect", J260&lt;=0), "PROSPECT EXPIRED", "SAFE / ON TRACK")))</f>
        <v/>
      </c>
    </row>
    <row r="261">
      <c r="A261" t="inlineStr">
        <is>
          <t>Fuji</t>
        </is>
      </c>
      <c r="B261" t="inlineStr"/>
      <c r="C261" t="inlineStr">
        <is>
          <t>Andreas</t>
        </is>
      </c>
      <c r="D261" t="inlineStr">
        <is>
          <t>SMS</t>
        </is>
      </c>
      <c r="E261" t="inlineStr">
        <is>
          <t>SUKSES MAKMUR SELARAS</t>
        </is>
      </c>
      <c r="F261" t="inlineStr"/>
      <c r="G261" t="inlineStr">
        <is>
          <t>7.26.00556</t>
        </is>
      </c>
      <c r="H261" t="inlineStr">
        <is>
          <t>Leads</t>
        </is>
      </c>
      <c r="I261" t="n">
        <v>0</v>
      </c>
      <c r="J261" t="n">
        <v>36</v>
      </c>
      <c r="K261" t="inlineStr">
        <is>
          <t>Reach Truck 1.5 Ton (1 Unit) _ 1 Tahun _ Canvassing awal &amp; Sales Call</t>
        </is>
      </c>
      <c r="L261">
        <f>IF(AND(H261="Leads", J261&lt;=0), "OVERDUE (IDLE)", IF(AND(H261="Leads", J261&lt;=14), "WARNING (3-14 Days)", IF(AND(H261="Prospect", J261&lt;=0), "PROSPECT EXPIRED", "SAFE / ON TRACK")))</f>
        <v/>
      </c>
    </row>
    <row r="262">
      <c r="A262" t="inlineStr">
        <is>
          <t>Fuji</t>
        </is>
      </c>
      <c r="B262" t="inlineStr"/>
      <c r="C262" t="inlineStr">
        <is>
          <t>Andreas</t>
        </is>
      </c>
      <c r="D262" t="inlineStr">
        <is>
          <t>ROYALPLAST</t>
        </is>
      </c>
      <c r="E262" t="inlineStr">
        <is>
          <t>ROYAL PLASTINDO MEGANTARA</t>
        </is>
      </c>
      <c r="F262" t="inlineStr"/>
      <c r="G262" t="inlineStr">
        <is>
          <t>7.26.00566</t>
        </is>
      </c>
      <c r="H262" t="inlineStr">
        <is>
          <t>Leads</t>
        </is>
      </c>
      <c r="I262" t="n">
        <v>0</v>
      </c>
      <c r="J262" t="n">
        <v>36</v>
      </c>
      <c r="K262" t="inlineStr">
        <is>
          <t>Reach Truck 1.5 Ton (1 Unit) _ 1 Tahun _ Canvassing awal &amp; Sales Call</t>
        </is>
      </c>
      <c r="L262">
        <f>IF(AND(H262="Leads", J262&lt;=0), "OVERDUE (IDLE)", IF(AND(H262="Leads", J262&lt;=14), "WARNING (3-14 Days)", IF(AND(H262="Prospect", J262&lt;=0), "PROSPECT EXPIRED", "SAFE / ON TRACK")))</f>
        <v/>
      </c>
    </row>
    <row r="263">
      <c r="A263" t="inlineStr">
        <is>
          <t>Fuji</t>
        </is>
      </c>
      <c r="B263" t="inlineStr"/>
      <c r="C263" t="inlineStr">
        <is>
          <t>Andreas</t>
        </is>
      </c>
      <c r="D263" t="inlineStr">
        <is>
          <t>CNCECINDOO</t>
        </is>
      </c>
      <c r="E263" t="inlineStr">
        <is>
          <t>PT CNCEC INDONESIA</t>
        </is>
      </c>
      <c r="F263" t="inlineStr">
        <is>
          <t>L</t>
        </is>
      </c>
      <c r="G263" t="inlineStr">
        <is>
          <t>7.26.00573</t>
        </is>
      </c>
      <c r="H263" t="inlineStr">
        <is>
          <t>Leads</t>
        </is>
      </c>
      <c r="I263" t="n">
        <v>0</v>
      </c>
      <c r="J263" t="n">
        <v>130</v>
      </c>
      <c r="K263" t="inlineStr">
        <is>
          <t>Reach Truck 1.5 Ton (1 Unit) _ 1 Tahun _ Canvassing awal &amp; Sales Call</t>
        </is>
      </c>
      <c r="L263">
        <f>IF(AND(H263="Leads", J263&lt;=0), "OVERDUE (IDLE)", IF(AND(H263="Leads", J263&lt;=14), "WARNING (3-14 Days)", IF(AND(H263="Prospect", J263&lt;=0), "PROSPECT EXPIRED", "SAFE / ON TRACK")))</f>
        <v/>
      </c>
    </row>
    <row r="264">
      <c r="A264" t="inlineStr">
        <is>
          <t>Fuji</t>
        </is>
      </c>
      <c r="B264" t="inlineStr"/>
      <c r="C264" t="inlineStr">
        <is>
          <t>Andreas</t>
        </is>
      </c>
      <c r="D264" t="inlineStr">
        <is>
          <t>TOBASURIMI</t>
        </is>
      </c>
      <c r="E264" t="inlineStr">
        <is>
          <t>PT TOBA SURIMI INDONUSANTARA</t>
        </is>
      </c>
      <c r="F264" t="inlineStr">
        <is>
          <t>L</t>
        </is>
      </c>
      <c r="G264" t="inlineStr">
        <is>
          <t>7.26.00582</t>
        </is>
      </c>
      <c r="H264" t="inlineStr">
        <is>
          <t>Leads</t>
        </is>
      </c>
      <c r="I264" t="n">
        <v>0</v>
      </c>
      <c r="J264" t="n">
        <v>46</v>
      </c>
      <c r="K264" t="inlineStr">
        <is>
          <t>Reach Truck 1.5 Ton (1 Unit) _ 1 Tahun _ Canvassing awal &amp; Sales Call</t>
        </is>
      </c>
      <c r="L264">
        <f>IF(AND(H264="Leads", J264&lt;=0), "OVERDUE (IDLE)", IF(AND(H264="Leads", J264&lt;=14), "WARNING (3-14 Days)", IF(AND(H264="Prospect", J264&lt;=0), "PROSPECT EXPIRED", "SAFE / ON TRACK")))</f>
        <v/>
      </c>
    </row>
    <row r="265">
      <c r="A265" t="inlineStr">
        <is>
          <t>Fuji</t>
        </is>
      </c>
      <c r="B265" t="inlineStr"/>
      <c r="C265" t="inlineStr">
        <is>
          <t>Andreas</t>
        </is>
      </c>
      <c r="D265" t="inlineStr">
        <is>
          <t>PAN</t>
        </is>
      </c>
      <c r="E265" t="inlineStr">
        <is>
          <t>PT PANTJA ARTHA NIAGA</t>
        </is>
      </c>
      <c r="F265" t="inlineStr">
        <is>
          <t>L</t>
        </is>
      </c>
      <c r="G265" t="inlineStr">
        <is>
          <t>7.26.00584</t>
        </is>
      </c>
      <c r="H265" t="inlineStr">
        <is>
          <t>Prospect</t>
        </is>
      </c>
      <c r="I265" t="n">
        <v>88</v>
      </c>
      <c r="J265" t="n">
        <v>268</v>
      </c>
      <c r="K265" t="inlineStr">
        <is>
          <t>Forklift 3 Ton (2 Unit) _ 2 Tahun _ SPH Dikirim ke User</t>
        </is>
      </c>
      <c r="L265">
        <f>IF(AND(H265="Leads", J265&lt;=0), "OVERDUE (IDLE)", IF(AND(H265="Leads", J265&lt;=14), "WARNING (3-14 Days)", IF(AND(H265="Prospect", J265&lt;=0), "PROSPECT EXPIRED", "SAFE / ON TRACK")))</f>
        <v/>
      </c>
    </row>
    <row r="266">
      <c r="A266" t="inlineStr">
        <is>
          <t>Fuji</t>
        </is>
      </c>
      <c r="B266" t="inlineStr"/>
      <c r="C266" t="inlineStr">
        <is>
          <t>Andreas</t>
        </is>
      </c>
      <c r="D266" t="inlineStr">
        <is>
          <t>SURYAKALIM</t>
        </is>
      </c>
      <c r="E266" t="inlineStr">
        <is>
          <t>PT SURYA KALIMANTAN SEJATI</t>
        </is>
      </c>
      <c r="F266" t="inlineStr">
        <is>
          <t>L</t>
        </is>
      </c>
      <c r="G266" t="inlineStr">
        <is>
          <t>7.26.00619</t>
        </is>
      </c>
      <c r="H266" t="inlineStr">
        <is>
          <t>Leads</t>
        </is>
      </c>
      <c r="I266" t="n">
        <v>0</v>
      </c>
      <c r="J266" t="n">
        <v>164</v>
      </c>
      <c r="K266" t="inlineStr">
        <is>
          <t>Reach Truck 1.5 Ton (1 Unit) _ 1 Tahun _ Canvassing awal &amp; Sales Call</t>
        </is>
      </c>
      <c r="L266">
        <f>IF(AND(H266="Leads", J266&lt;=0), "OVERDUE (IDLE)", IF(AND(H266="Leads", J266&lt;=14), "WARNING (3-14 Days)", IF(AND(H266="Prospect", J266&lt;=0), "PROSPECT EXPIRED", "SAFE / ON TRACK")))</f>
        <v/>
      </c>
    </row>
    <row r="267">
      <c r="A267" t="inlineStr">
        <is>
          <t>Fuji</t>
        </is>
      </c>
      <c r="B267" t="inlineStr"/>
      <c r="C267" t="inlineStr">
        <is>
          <t>Andreas</t>
        </is>
      </c>
      <c r="D267" t="inlineStr">
        <is>
          <t>PELITBAN</t>
        </is>
      </c>
      <c r="E267" t="inlineStr">
        <is>
          <t>PT PELITA ABADI NIAGA</t>
        </is>
      </c>
      <c r="F267" t="inlineStr">
        <is>
          <t>L</t>
        </is>
      </c>
      <c r="G267" t="inlineStr">
        <is>
          <t>7.26.00669</t>
        </is>
      </c>
      <c r="H267" t="inlineStr">
        <is>
          <t>Prospect</t>
        </is>
      </c>
      <c r="I267" t="n">
        <v>79</v>
      </c>
      <c r="J267" t="n">
        <v>259</v>
      </c>
      <c r="K267" t="inlineStr">
        <is>
          <t>Forklift 3 Ton (2 Unit) _ 2 Tahun _ SPH Dikirim ke User</t>
        </is>
      </c>
      <c r="L267">
        <f>IF(AND(H267="Leads", J267&lt;=0), "OVERDUE (IDLE)", IF(AND(H267="Leads", J267&lt;=14), "WARNING (3-14 Days)", IF(AND(H267="Prospect", J267&lt;=0), "PROSPECT EXPIRED", "SAFE / ON TRACK")))</f>
        <v/>
      </c>
    </row>
    <row r="268">
      <c r="A268" t="inlineStr">
        <is>
          <t>Fuji</t>
        </is>
      </c>
      <c r="B268" t="inlineStr"/>
      <c r="C268" t="inlineStr">
        <is>
          <t>Andreas</t>
        </is>
      </c>
      <c r="D268" t="inlineStr">
        <is>
          <t>ARCHITACHI</t>
        </is>
      </c>
      <c r="E268" t="inlineStr">
        <is>
          <t>ARCELIK HITACHI HOME APPLIANCES SALES INDONESIA</t>
        </is>
      </c>
      <c r="F268" t="inlineStr"/>
      <c r="G268" t="inlineStr">
        <is>
          <t>7.26.00672</t>
        </is>
      </c>
      <c r="H268" t="inlineStr">
        <is>
          <t>Leads</t>
        </is>
      </c>
      <c r="I268" t="n">
        <v>0</v>
      </c>
      <c r="J268" t="n">
        <v>65</v>
      </c>
      <c r="K268" t="inlineStr">
        <is>
          <t>Reach Truck 1.5 Ton (1 Unit) _ 1 Tahun _ Canvassing awal &amp; Sales Call</t>
        </is>
      </c>
      <c r="L268">
        <f>IF(AND(H268="Leads", J268&lt;=0), "OVERDUE (IDLE)", IF(AND(H268="Leads", J268&lt;=14), "WARNING (3-14 Days)", IF(AND(H268="Prospect", J268&lt;=0), "PROSPECT EXPIRED", "SAFE / ON TRACK")))</f>
        <v/>
      </c>
    </row>
    <row r="269">
      <c r="A269" t="inlineStr">
        <is>
          <t>Fuji</t>
        </is>
      </c>
      <c r="B269" t="inlineStr"/>
      <c r="C269" t="inlineStr">
        <is>
          <t>Andreas</t>
        </is>
      </c>
      <c r="D269" t="inlineStr">
        <is>
          <t>AZBERIND</t>
        </is>
      </c>
      <c r="E269" t="inlineStr">
        <is>
          <t>PT AZBIL BERCA INDONESIA</t>
        </is>
      </c>
      <c r="F269" t="inlineStr">
        <is>
          <t>L</t>
        </is>
      </c>
      <c r="G269" t="inlineStr">
        <is>
          <t>7.26.00680</t>
        </is>
      </c>
      <c r="H269" t="inlineStr">
        <is>
          <t>Prospect</t>
        </is>
      </c>
      <c r="I269" t="n">
        <v>86</v>
      </c>
      <c r="J269" t="n">
        <v>266</v>
      </c>
      <c r="K269" t="inlineStr">
        <is>
          <t>Forklift 3 Ton (2 Unit) _ 2 Tahun _ SPH Dikirim ke User</t>
        </is>
      </c>
      <c r="L269">
        <f>IF(AND(H269="Leads", J269&lt;=0), "OVERDUE (IDLE)", IF(AND(H269="Leads", J269&lt;=14), "WARNING (3-14 Days)", IF(AND(H269="Prospect", J269&lt;=0), "PROSPECT EXPIRED", "SAFE / ON TRACK")))</f>
        <v/>
      </c>
    </row>
    <row r="270">
      <c r="A270" t="inlineStr">
        <is>
          <t>Fuji</t>
        </is>
      </c>
      <c r="B270" t="inlineStr"/>
      <c r="C270" t="inlineStr">
        <is>
          <t>Andreas</t>
        </is>
      </c>
      <c r="D270" t="inlineStr">
        <is>
          <t>PRABHU</t>
        </is>
      </c>
      <c r="E270" t="inlineStr">
        <is>
          <t>PERKASA ABDI BHUANA</t>
        </is>
      </c>
      <c r="F270" t="inlineStr">
        <is>
          <t>S</t>
        </is>
      </c>
      <c r="G270" t="inlineStr">
        <is>
          <t>7.26.00691</t>
        </is>
      </c>
      <c r="H270" t="inlineStr">
        <is>
          <t>Prospect</t>
        </is>
      </c>
      <c r="I270" t="n">
        <v>81</v>
      </c>
      <c r="J270" t="n">
        <v>261</v>
      </c>
      <c r="K270" t="inlineStr">
        <is>
          <t>Forklift 3 Ton (2 Unit) _ 2 Tahun _ SPH Dikirim ke User</t>
        </is>
      </c>
      <c r="L270">
        <f>IF(AND(H270="Leads", J270&lt;=0), "OVERDUE (IDLE)", IF(AND(H270="Leads", J270&lt;=14), "WARNING (3-14 Days)", IF(AND(H270="Prospect", J270&lt;=0), "PROSPECT EXPIRED", "SAFE / ON TRACK")))</f>
        <v/>
      </c>
    </row>
    <row r="271">
      <c r="A271" t="inlineStr">
        <is>
          <t>Fuji</t>
        </is>
      </c>
      <c r="B271" t="inlineStr"/>
      <c r="C271" t="inlineStr">
        <is>
          <t>Andreas</t>
        </is>
      </c>
      <c r="D271" t="inlineStr">
        <is>
          <t>PANNIAGA</t>
        </is>
      </c>
      <c r="E271" t="inlineStr">
        <is>
          <t>PT PURI ARTHA NIAGA</t>
        </is>
      </c>
      <c r="F271" t="inlineStr">
        <is>
          <t>L</t>
        </is>
      </c>
      <c r="G271" t="inlineStr">
        <is>
          <t>7.26.00708</t>
        </is>
      </c>
      <c r="H271" t="inlineStr">
        <is>
          <t>Prospect</t>
        </is>
      </c>
      <c r="I271" t="n">
        <v>47</v>
      </c>
      <c r="J271" t="n">
        <v>227</v>
      </c>
      <c r="K271" t="inlineStr">
        <is>
          <t>Forklift 3 Ton (2 Unit) _ 2 Tahun _ SPH Dikirim ke User</t>
        </is>
      </c>
      <c r="L271">
        <f>IF(AND(H271="Leads", J271&lt;=0), "OVERDUE (IDLE)", IF(AND(H271="Leads", J271&lt;=14), "WARNING (3-14 Days)", IF(AND(H271="Prospect", J271&lt;=0), "PROSPECT EXPIRED", "SAFE / ON TRACK")))</f>
        <v/>
      </c>
    </row>
    <row r="272">
      <c r="A272" t="inlineStr">
        <is>
          <t>Fuji</t>
        </is>
      </c>
      <c r="B272" t="inlineStr"/>
      <c r="C272" t="inlineStr">
        <is>
          <t>Andreas</t>
        </is>
      </c>
      <c r="D272" t="inlineStr">
        <is>
          <t>DSVCONTRA</t>
        </is>
      </c>
      <c r="E272" t="inlineStr">
        <is>
          <t>PT DSV CONTRACT LOGISTICS</t>
        </is>
      </c>
      <c r="F272" t="inlineStr">
        <is>
          <t>L</t>
        </is>
      </c>
      <c r="G272" t="inlineStr">
        <is>
          <t>7.26.00792</t>
        </is>
      </c>
      <c r="H272" t="inlineStr">
        <is>
          <t>Prospect</t>
        </is>
      </c>
      <c r="I272" t="n">
        <v>10</v>
      </c>
      <c r="J272" t="n">
        <v>190</v>
      </c>
      <c r="K272" t="inlineStr">
        <is>
          <t>Forklift 3 Ton (2 Unit) _ 2 Tahun _ SPH Dikirim ke User</t>
        </is>
      </c>
      <c r="L272">
        <f>IF(AND(H272="Leads", J272&lt;=0), "OVERDUE (IDLE)", IF(AND(H272="Leads", J272&lt;=14), "WARNING (3-14 Days)", IF(AND(H272="Prospect", J272&lt;=0), "PROSPECT EXPIRED", "SAFE / ON TRACK")))</f>
        <v/>
      </c>
    </row>
    <row r="273">
      <c r="A273" t="inlineStr">
        <is>
          <t>Fuji</t>
        </is>
      </c>
      <c r="B273" t="inlineStr"/>
      <c r="C273" t="inlineStr">
        <is>
          <t>Andreas</t>
        </is>
      </c>
      <c r="D273" t="inlineStr">
        <is>
          <t>KAWANINTII</t>
        </is>
      </c>
      <c r="E273" t="inlineStr">
        <is>
          <t>PT KAWAN INTI INDONESIA</t>
        </is>
      </c>
      <c r="F273" t="inlineStr">
        <is>
          <t>L</t>
        </is>
      </c>
      <c r="G273" t="inlineStr">
        <is>
          <t>7.26.00817</t>
        </is>
      </c>
      <c r="H273" t="inlineStr">
        <is>
          <t>Leads</t>
        </is>
      </c>
      <c r="I273" t="n">
        <v>0</v>
      </c>
      <c r="J273" t="n">
        <v>105</v>
      </c>
      <c r="K273" t="inlineStr">
        <is>
          <t>Reach Truck 1.5 Ton (1 Unit) _ 1 Tahun _ Canvassing awal &amp; Sales Call</t>
        </is>
      </c>
      <c r="L273">
        <f>IF(AND(H273="Leads", J273&lt;=0), "OVERDUE (IDLE)", IF(AND(H273="Leads", J273&lt;=14), "WARNING (3-14 Days)", IF(AND(H273="Prospect", J273&lt;=0), "PROSPECT EXPIRED", "SAFE / ON TRACK")))</f>
        <v/>
      </c>
    </row>
    <row r="274">
      <c r="A274" t="inlineStr">
        <is>
          <t>Fuji</t>
        </is>
      </c>
      <c r="B274" t="inlineStr"/>
      <c r="C274" t="inlineStr">
        <is>
          <t>Andreas</t>
        </is>
      </c>
      <c r="D274" t="inlineStr">
        <is>
          <t>TATABANDAR</t>
        </is>
      </c>
      <c r="E274" t="inlineStr">
        <is>
          <t>PT TATA BANDAR SAMUDERA</t>
        </is>
      </c>
      <c r="F274" t="inlineStr">
        <is>
          <t>L</t>
        </is>
      </c>
      <c r="G274" t="inlineStr">
        <is>
          <t>7.26.00839</t>
        </is>
      </c>
      <c r="H274" t="inlineStr">
        <is>
          <t>Prospect</t>
        </is>
      </c>
      <c r="I274" t="n">
        <v>18</v>
      </c>
      <c r="J274" t="n">
        <v>198</v>
      </c>
      <c r="K274" t="inlineStr">
        <is>
          <t>Forklift 3 Ton (2 Unit) _ 2 Tahun _ SPH Dikirim ke User</t>
        </is>
      </c>
      <c r="L274">
        <f>IF(AND(H274="Leads", J274&lt;=0), "OVERDUE (IDLE)", IF(AND(H274="Leads", J274&lt;=14), "WARNING (3-14 Days)", IF(AND(H274="Prospect", J274&lt;=0), "PROSPECT EXPIRED", "SAFE / ON TRACK")))</f>
        <v/>
      </c>
    </row>
    <row r="275">
      <c r="A275" t="inlineStr">
        <is>
          <t>Fuji</t>
        </is>
      </c>
      <c r="B275" t="inlineStr"/>
      <c r="C275" t="inlineStr">
        <is>
          <t>Andreas</t>
        </is>
      </c>
      <c r="D275" t="inlineStr">
        <is>
          <t>STARCOMSOL</t>
        </is>
      </c>
      <c r="E275" t="inlineStr">
        <is>
          <t>PT STARCOM SOLUSINDO</t>
        </is>
      </c>
      <c r="F275" t="inlineStr">
        <is>
          <t>L</t>
        </is>
      </c>
      <c r="G275" t="inlineStr">
        <is>
          <t>7.26.00860</t>
        </is>
      </c>
      <c r="H275" t="inlineStr">
        <is>
          <t>Prospect</t>
        </is>
      </c>
      <c r="I275" t="n">
        <v>23</v>
      </c>
      <c r="J275" t="n">
        <v>203</v>
      </c>
      <c r="K275" t="inlineStr">
        <is>
          <t>Forklift 3 Ton (2 Unit) _ 2 Tahun _ SPH Dikirim ke User</t>
        </is>
      </c>
      <c r="L275">
        <f>IF(AND(H275="Leads", J275&lt;=0), "OVERDUE (IDLE)", IF(AND(H275="Leads", J275&lt;=14), "WARNING (3-14 Days)", IF(AND(H275="Prospect", J275&lt;=0), "PROSPECT EXPIRED", "SAFE / ON TRACK")))</f>
        <v/>
      </c>
    </row>
    <row r="276">
      <c r="A276" t="inlineStr">
        <is>
          <t>Fuji</t>
        </is>
      </c>
      <c r="B276" t="inlineStr"/>
      <c r="C276" t="inlineStr">
        <is>
          <t>Andreas</t>
        </is>
      </c>
      <c r="D276" t="inlineStr">
        <is>
          <t>ARTAPALATE</t>
        </is>
      </c>
      <c r="E276" t="inlineStr">
        <is>
          <t>ARTAPALA TELEKOMINDO</t>
        </is>
      </c>
      <c r="F276" t="inlineStr"/>
      <c r="G276" t="inlineStr">
        <is>
          <t>7.26.00871</t>
        </is>
      </c>
      <c r="H276" t="inlineStr">
        <is>
          <t>Leads</t>
        </is>
      </c>
      <c r="I276" t="n">
        <v>0</v>
      </c>
      <c r="J276" t="n">
        <v>114</v>
      </c>
      <c r="K276" t="inlineStr">
        <is>
          <t>Reach Truck 1.5 Ton (1 Unit) _ 1 Tahun _ Canvassing awal &amp; Sales Call</t>
        </is>
      </c>
      <c r="L276">
        <f>IF(AND(H276="Leads", J276&lt;=0), "OVERDUE (IDLE)", IF(AND(H276="Leads", J276&lt;=14), "WARNING (3-14 Days)", IF(AND(H276="Prospect", J276&lt;=0), "PROSPECT EXPIRED", "SAFE / ON TRACK")))</f>
        <v/>
      </c>
    </row>
    <row r="277">
      <c r="A277" t="inlineStr">
        <is>
          <t>Fuji</t>
        </is>
      </c>
      <c r="B277" t="inlineStr"/>
      <c r="C277" t="inlineStr">
        <is>
          <t>Andreas</t>
        </is>
      </c>
      <c r="D277" t="inlineStr">
        <is>
          <t>DKSHINDO</t>
        </is>
      </c>
      <c r="E277" t="inlineStr">
        <is>
          <t>DKSH INDONESIA</t>
        </is>
      </c>
      <c r="F277" t="inlineStr"/>
      <c r="G277" t="inlineStr">
        <is>
          <t>7.26.00932</t>
        </is>
      </c>
      <c r="H277" t="inlineStr">
        <is>
          <t>Leads</t>
        </is>
      </c>
      <c r="I277" t="n">
        <v>0</v>
      </c>
      <c r="J277" t="n">
        <v>114</v>
      </c>
      <c r="K277" t="inlineStr">
        <is>
          <t>Reach Truck 1.5 Ton (1 Unit) _ 1 Tahun _ Canvassing awal &amp; Sales Call</t>
        </is>
      </c>
      <c r="L277">
        <f>IF(AND(H277="Leads", J277&lt;=0), "OVERDUE (IDLE)", IF(AND(H277="Leads", J277&lt;=14), "WARNING (3-14 Days)", IF(AND(H277="Prospect", J277&lt;=0), "PROSPECT EXPIRED", "SAFE / ON TRACK")))</f>
        <v/>
      </c>
    </row>
    <row r="278">
      <c r="A278" t="inlineStr">
        <is>
          <t>Fuji</t>
        </is>
      </c>
      <c r="B278" t="inlineStr"/>
      <c r="C278" t="inlineStr">
        <is>
          <t>Andreas</t>
        </is>
      </c>
      <c r="D278" t="inlineStr">
        <is>
          <t>EAR</t>
        </is>
      </c>
      <c r="E278" t="inlineStr">
        <is>
          <t>ERAFONE ARTHA RETAILINDO</t>
        </is>
      </c>
      <c r="F278" t="inlineStr"/>
      <c r="G278" t="inlineStr">
        <is>
          <t>7.26.00937</t>
        </is>
      </c>
      <c r="H278" t="inlineStr">
        <is>
          <t>Leads</t>
        </is>
      </c>
      <c r="I278" t="n">
        <v>0</v>
      </c>
      <c r="J278" t="n">
        <v>114</v>
      </c>
      <c r="K278" t="inlineStr">
        <is>
          <t>Reach Truck 1.5 Ton (1 Unit) _ 1 Tahun _ Canvassing awal &amp; Sales Call</t>
        </is>
      </c>
      <c r="L278">
        <f>IF(AND(H278="Leads", J278&lt;=0), "OVERDUE (IDLE)", IF(AND(H278="Leads", J278&lt;=14), "WARNING (3-14 Days)", IF(AND(H278="Prospect", J278&lt;=0), "PROSPECT EXPIRED", "SAFE / ON TRACK")))</f>
        <v/>
      </c>
    </row>
    <row r="279">
      <c r="A279" t="inlineStr">
        <is>
          <t>Fuji</t>
        </is>
      </c>
      <c r="B279" t="inlineStr"/>
      <c r="C279" t="inlineStr">
        <is>
          <t>Andreas</t>
        </is>
      </c>
      <c r="D279" t="inlineStr">
        <is>
          <t>EMS</t>
        </is>
      </c>
      <c r="E279" t="inlineStr">
        <is>
          <t>EMS INDOAPPLIANCES</t>
        </is>
      </c>
      <c r="F279" t="inlineStr"/>
      <c r="G279" t="inlineStr">
        <is>
          <t>7.26.00941</t>
        </is>
      </c>
      <c r="H279" t="inlineStr">
        <is>
          <t>Leads</t>
        </is>
      </c>
      <c r="I279" t="n">
        <v>0</v>
      </c>
      <c r="J279" t="n">
        <v>114</v>
      </c>
      <c r="K279" t="inlineStr">
        <is>
          <t>Reach Truck 1.5 Ton (1 Unit) _ 1 Tahun _ Canvassing awal &amp; Sales Call</t>
        </is>
      </c>
      <c r="L279">
        <f>IF(AND(H279="Leads", J279&lt;=0), "OVERDUE (IDLE)", IF(AND(H279="Leads", J279&lt;=14), "WARNING (3-14 Days)", IF(AND(H279="Prospect", J279&lt;=0), "PROSPECT EXPIRED", "SAFE / ON TRACK")))</f>
        <v/>
      </c>
    </row>
    <row r="280">
      <c r="A280" t="inlineStr">
        <is>
          <t>Fuji</t>
        </is>
      </c>
      <c r="B280" t="inlineStr"/>
      <c r="C280" t="inlineStr">
        <is>
          <t>Andreas</t>
        </is>
      </c>
      <c r="D280" t="inlineStr">
        <is>
          <t>INKA</t>
        </is>
      </c>
      <c r="E280" t="inlineStr">
        <is>
          <t>INDUSTRI KERETA API</t>
        </is>
      </c>
      <c r="F280" t="inlineStr">
        <is>
          <t>S</t>
        </is>
      </c>
      <c r="G280" t="inlineStr">
        <is>
          <t>7.26.01071</t>
        </is>
      </c>
      <c r="H280" t="inlineStr">
        <is>
          <t>Leads</t>
        </is>
      </c>
      <c r="I280" t="n">
        <v>0</v>
      </c>
      <c r="J280" t="n">
        <v>114</v>
      </c>
      <c r="K280" t="inlineStr">
        <is>
          <t>Reach Truck 1.5 Ton (1 Unit) _ 1 Tahun _ Canvassing awal &amp; Sales Call</t>
        </is>
      </c>
      <c r="L280">
        <f>IF(AND(H280="Leads", J280&lt;=0), "OVERDUE (IDLE)", IF(AND(H280="Leads", J280&lt;=14), "WARNING (3-14 Days)", IF(AND(H280="Prospect", J280&lt;=0), "PROSPECT EXPIRED", "SAFE / ON TRACK")))</f>
        <v/>
      </c>
    </row>
    <row r="281">
      <c r="A281" t="inlineStr">
        <is>
          <t>Fuji</t>
        </is>
      </c>
      <c r="B281" t="inlineStr"/>
      <c r="C281" t="inlineStr">
        <is>
          <t>Andreas</t>
        </is>
      </c>
      <c r="D281" t="inlineStr">
        <is>
          <t>JASINDOSYA</t>
        </is>
      </c>
      <c r="E281" t="inlineStr">
        <is>
          <t>PT ASURANSI JASINDO SYARIAH</t>
        </is>
      </c>
      <c r="F281" t="inlineStr">
        <is>
          <t>L</t>
        </is>
      </c>
      <c r="G281" t="inlineStr">
        <is>
          <t>7.26.01082</t>
        </is>
      </c>
      <c r="H281" t="inlineStr">
        <is>
          <t>Leads</t>
        </is>
      </c>
      <c r="I281" t="n">
        <v>0</v>
      </c>
      <c r="J281" t="n">
        <v>114</v>
      </c>
      <c r="K281" t="inlineStr">
        <is>
          <t>Reach Truck 1.5 Ton (1 Unit) _ 1 Tahun _ Canvassing awal &amp; Sales Call</t>
        </is>
      </c>
      <c r="L281">
        <f>IF(AND(H281="Leads", J281&lt;=0), "OVERDUE (IDLE)", IF(AND(H281="Leads", J281&lt;=14), "WARNING (3-14 Days)", IF(AND(H281="Prospect", J281&lt;=0), "PROSPECT EXPIRED", "SAFE / ON TRACK")))</f>
        <v/>
      </c>
    </row>
    <row r="282">
      <c r="A282" t="inlineStr">
        <is>
          <t>Fuji</t>
        </is>
      </c>
      <c r="B282" t="inlineStr"/>
      <c r="C282" t="inlineStr">
        <is>
          <t>Andreas</t>
        </is>
      </c>
      <c r="D282" t="inlineStr">
        <is>
          <t>ASTRAZENEC</t>
        </is>
      </c>
      <c r="E282" t="inlineStr">
        <is>
          <t>ASTRAZENECA INDONESIA</t>
        </is>
      </c>
      <c r="F282" t="inlineStr"/>
      <c r="G282" t="inlineStr">
        <is>
          <t>7.26.01162</t>
        </is>
      </c>
      <c r="H282" t="inlineStr">
        <is>
          <t>Leads</t>
        </is>
      </c>
      <c r="I282" t="n">
        <v>0</v>
      </c>
      <c r="J282" t="n">
        <v>114</v>
      </c>
      <c r="K282" t="inlineStr">
        <is>
          <t>Reach Truck 1.5 Ton (1 Unit) _ 1 Tahun _ Canvassing awal &amp; Sales Call</t>
        </is>
      </c>
      <c r="L282">
        <f>IF(AND(H282="Leads", J282&lt;=0), "OVERDUE (IDLE)", IF(AND(H282="Leads", J282&lt;=14), "WARNING (3-14 Days)", IF(AND(H282="Prospect", J282&lt;=0), "PROSPECT EXPIRED", "SAFE / ON TRACK")))</f>
        <v/>
      </c>
    </row>
    <row r="283">
      <c r="A283" t="inlineStr">
        <is>
          <t>Fuji</t>
        </is>
      </c>
      <c r="B283" t="inlineStr"/>
      <c r="C283" t="inlineStr">
        <is>
          <t>Andreas</t>
        </is>
      </c>
      <c r="D283" t="inlineStr">
        <is>
          <t>AUTOPLAS</t>
        </is>
      </c>
      <c r="E283" t="inlineStr">
        <is>
          <t>AUTOPLASTIK INDONESIA</t>
        </is>
      </c>
      <c r="F283" t="inlineStr"/>
      <c r="G283" t="inlineStr">
        <is>
          <t>7.26.01164</t>
        </is>
      </c>
      <c r="H283" t="inlineStr">
        <is>
          <t>Leads</t>
        </is>
      </c>
      <c r="I283" t="n">
        <v>0</v>
      </c>
      <c r="J283" t="n">
        <v>114</v>
      </c>
      <c r="K283" t="inlineStr">
        <is>
          <t>Reach Truck 1.5 Ton (1 Unit) _ 1 Tahun _ Canvassing awal &amp; Sales Call</t>
        </is>
      </c>
      <c r="L283">
        <f>IF(AND(H283="Leads", J283&lt;=0), "OVERDUE (IDLE)", IF(AND(H283="Leads", J283&lt;=14), "WARNING (3-14 Days)", IF(AND(H283="Prospect", J283&lt;=0), "PROSPECT EXPIRED", "SAFE / ON TRACK")))</f>
        <v/>
      </c>
    </row>
    <row r="284">
      <c r="A284" t="inlineStr">
        <is>
          <t>Fuji</t>
        </is>
      </c>
      <c r="B284" t="inlineStr"/>
      <c r="C284" t="inlineStr">
        <is>
          <t>Andreas</t>
        </is>
      </c>
      <c r="D284" t="inlineStr">
        <is>
          <t>CASTROLIND</t>
        </is>
      </c>
      <c r="E284" t="inlineStr">
        <is>
          <t>PT CASTROL INDONESIA</t>
        </is>
      </c>
      <c r="F284" t="inlineStr">
        <is>
          <t>S</t>
        </is>
      </c>
      <c r="G284" t="inlineStr">
        <is>
          <t>7.26.01172</t>
        </is>
      </c>
      <c r="H284" t="inlineStr">
        <is>
          <t>Leads</t>
        </is>
      </c>
      <c r="I284" t="n">
        <v>0</v>
      </c>
      <c r="J284" t="n">
        <v>114</v>
      </c>
      <c r="K284" t="inlineStr">
        <is>
          <t>Reach Truck 1.5 Ton (1 Unit) _ 1 Tahun _ Canvassing awal &amp; Sales Call</t>
        </is>
      </c>
      <c r="L284">
        <f>IF(AND(H284="Leads", J284&lt;=0), "OVERDUE (IDLE)", IF(AND(H284="Leads", J284&lt;=14), "WARNING (3-14 Days)", IF(AND(H284="Prospect", J284&lt;=0), "PROSPECT EXPIRED", "SAFE / ON TRACK")))</f>
        <v/>
      </c>
    </row>
    <row r="285">
      <c r="A285" t="inlineStr">
        <is>
          <t>Fuji</t>
        </is>
      </c>
      <c r="B285" t="inlineStr"/>
      <c r="C285" t="inlineStr">
        <is>
          <t>Andreas</t>
        </is>
      </c>
      <c r="D285" t="inlineStr">
        <is>
          <t>CEKA</t>
        </is>
      </c>
      <c r="E285" t="inlineStr">
        <is>
          <t>WILMAR CAHAYA INDONESIA</t>
        </is>
      </c>
      <c r="F285" t="inlineStr"/>
      <c r="G285" t="inlineStr">
        <is>
          <t>7.26.01176</t>
        </is>
      </c>
      <c r="H285" t="inlineStr">
        <is>
          <t>Leads</t>
        </is>
      </c>
      <c r="I285" t="n">
        <v>0</v>
      </c>
      <c r="J285" t="n">
        <v>114</v>
      </c>
      <c r="K285" t="inlineStr">
        <is>
          <t>Reach Truck 1.5 Ton (1 Unit) _ 1 Tahun _ Canvassing awal &amp; Sales Call</t>
        </is>
      </c>
      <c r="L285">
        <f>IF(AND(H285="Leads", J285&lt;=0), "OVERDUE (IDLE)", IF(AND(H285="Leads", J285&lt;=14), "WARNING (3-14 Days)", IF(AND(H285="Prospect", J285&lt;=0), "PROSPECT EXPIRED", "SAFE / ON TRACK")))</f>
        <v/>
      </c>
    </row>
    <row r="286">
      <c r="A286" t="inlineStr">
        <is>
          <t>Fuji</t>
        </is>
      </c>
      <c r="B286" t="inlineStr"/>
      <c r="C286" t="inlineStr">
        <is>
          <t>Andreas</t>
        </is>
      </c>
      <c r="D286" t="inlineStr">
        <is>
          <t>CIPTAPS</t>
        </is>
      </c>
      <c r="E286" t="inlineStr">
        <is>
          <t>CIPTA PARAMA SOLUSINDO</t>
        </is>
      </c>
      <c r="F286" t="inlineStr"/>
      <c r="G286" t="inlineStr">
        <is>
          <t>7.26.01181</t>
        </is>
      </c>
      <c r="H286" t="inlineStr">
        <is>
          <t>Leads</t>
        </is>
      </c>
      <c r="I286" t="n">
        <v>0</v>
      </c>
      <c r="J286" t="n">
        <v>114</v>
      </c>
      <c r="K286" t="inlineStr">
        <is>
          <t>Reach Truck 1.5 Ton (1 Unit) _ 1 Tahun _ Canvassing awal &amp; Sales Call</t>
        </is>
      </c>
      <c r="L286">
        <f>IF(AND(H286="Leads", J286&lt;=0), "OVERDUE (IDLE)", IF(AND(H286="Leads", J286&lt;=14), "WARNING (3-14 Days)", IF(AND(H286="Prospect", J286&lt;=0), "PROSPECT EXPIRED", "SAFE / ON TRACK")))</f>
        <v/>
      </c>
    </row>
    <row r="287">
      <c r="A287" t="inlineStr">
        <is>
          <t>Fuji</t>
        </is>
      </c>
      <c r="B287" t="inlineStr"/>
      <c r="C287" t="inlineStr">
        <is>
          <t>Andreas</t>
        </is>
      </c>
      <c r="D287" t="inlineStr">
        <is>
          <t>CPPI</t>
        </is>
      </c>
      <c r="E287" t="inlineStr">
        <is>
          <t>CHAMPION PRESICION PARTS INDONESIA</t>
        </is>
      </c>
      <c r="F287" t="inlineStr"/>
      <c r="G287" t="inlineStr">
        <is>
          <t>7.26.01183</t>
        </is>
      </c>
      <c r="H287" t="inlineStr">
        <is>
          <t>Leads</t>
        </is>
      </c>
      <c r="I287" t="n">
        <v>0</v>
      </c>
      <c r="J287" t="n">
        <v>114</v>
      </c>
      <c r="K287" t="inlineStr">
        <is>
          <t>Reach Truck 1.5 Ton (1 Unit) _ 1 Tahun _ Canvassing awal &amp; Sales Call</t>
        </is>
      </c>
      <c r="L287">
        <f>IF(AND(H287="Leads", J287&lt;=0), "OVERDUE (IDLE)", IF(AND(H287="Leads", J287&lt;=14), "WARNING (3-14 Days)", IF(AND(H287="Prospect", J287&lt;=0), "PROSPECT EXPIRED", "SAFE / ON TRACK")))</f>
        <v/>
      </c>
    </row>
    <row r="288">
      <c r="A288" t="inlineStr">
        <is>
          <t>Fuji</t>
        </is>
      </c>
      <c r="B288" t="inlineStr"/>
      <c r="C288" t="inlineStr">
        <is>
          <t>Andreas</t>
        </is>
      </c>
      <c r="D288" t="inlineStr">
        <is>
          <t>DAIND</t>
        </is>
      </c>
      <c r="E288" t="inlineStr">
        <is>
          <t>PT DAESANG AGUNG INDONESIA</t>
        </is>
      </c>
      <c r="F288" t="inlineStr">
        <is>
          <t>L</t>
        </is>
      </c>
      <c r="G288" t="inlineStr">
        <is>
          <t>7.26.01185</t>
        </is>
      </c>
      <c r="H288" t="inlineStr">
        <is>
          <t>Leads</t>
        </is>
      </c>
      <c r="I288" t="n">
        <v>0</v>
      </c>
      <c r="J288" t="n">
        <v>114</v>
      </c>
      <c r="K288" t="inlineStr">
        <is>
          <t>Reach Truck 1.5 Ton (1 Unit) _ 1 Tahun _ Canvassing awal &amp; Sales Call</t>
        </is>
      </c>
      <c r="L288">
        <f>IF(AND(H288="Leads", J288&lt;=0), "OVERDUE (IDLE)", IF(AND(H288="Leads", J288&lt;=14), "WARNING (3-14 Days)", IF(AND(H288="Prospect", J288&lt;=0), "PROSPECT EXPIRED", "SAFE / ON TRACK")))</f>
        <v/>
      </c>
    </row>
    <row r="289">
      <c r="A289" t="inlineStr">
        <is>
          <t>Fuji</t>
        </is>
      </c>
      <c r="B289" t="inlineStr"/>
      <c r="C289" t="inlineStr">
        <is>
          <t>Andreas</t>
        </is>
      </c>
      <c r="D289" t="inlineStr">
        <is>
          <t>ERICSSON</t>
        </is>
      </c>
      <c r="E289" t="inlineStr">
        <is>
          <t>ERICSSON INDONESIA</t>
        </is>
      </c>
      <c r="F289" t="inlineStr">
        <is>
          <t>S</t>
        </is>
      </c>
      <c r="G289" t="inlineStr">
        <is>
          <t>7.26.01195</t>
        </is>
      </c>
      <c r="H289" t="inlineStr">
        <is>
          <t>Leads</t>
        </is>
      </c>
      <c r="I289" t="n">
        <v>0</v>
      </c>
      <c r="J289" t="n">
        <v>114</v>
      </c>
      <c r="K289" t="inlineStr">
        <is>
          <t>Reach Truck 1.5 Ton (1 Unit) _ 1 Tahun _ Canvassing awal &amp; Sales Call</t>
        </is>
      </c>
      <c r="L289">
        <f>IF(AND(H289="Leads", J289&lt;=0), "OVERDUE (IDLE)", IF(AND(H289="Leads", J289&lt;=14), "WARNING (3-14 Days)", IF(AND(H289="Prospect", J289&lt;=0), "PROSPECT EXPIRED", "SAFE / ON TRACK")))</f>
        <v/>
      </c>
    </row>
    <row r="290">
      <c r="A290" t="inlineStr">
        <is>
          <t>Fuji</t>
        </is>
      </c>
      <c r="B290" t="inlineStr"/>
      <c r="C290" t="inlineStr">
        <is>
          <t>Andreas</t>
        </is>
      </c>
      <c r="D290" t="inlineStr">
        <is>
          <t>INDOMETAL</t>
        </is>
      </c>
      <c r="E290" t="inlineStr">
        <is>
          <t>INDOSEIKI METALUTAMA</t>
        </is>
      </c>
      <c r="F290" t="inlineStr">
        <is>
          <t>S</t>
        </is>
      </c>
      <c r="G290" t="inlineStr">
        <is>
          <t>7.26.01205</t>
        </is>
      </c>
      <c r="H290" t="inlineStr">
        <is>
          <t>Leads</t>
        </is>
      </c>
      <c r="I290" t="n">
        <v>0</v>
      </c>
      <c r="J290" t="n">
        <v>114</v>
      </c>
      <c r="K290" t="inlineStr">
        <is>
          <t>Reach Truck 1.5 Ton (1 Unit) _ 1 Tahun _ Canvassing awal &amp; Sales Call</t>
        </is>
      </c>
      <c r="L290">
        <f>IF(AND(H290="Leads", J290&lt;=0), "OVERDUE (IDLE)", IF(AND(H290="Leads", J290&lt;=14), "WARNING (3-14 Days)", IF(AND(H290="Prospect", J290&lt;=0), "PROSPECT EXPIRED", "SAFE / ON TRACK")))</f>
        <v/>
      </c>
    </row>
    <row r="291">
      <c r="A291" t="inlineStr">
        <is>
          <t>Fuji</t>
        </is>
      </c>
      <c r="B291" t="inlineStr"/>
      <c r="C291" t="inlineStr">
        <is>
          <t>Andreas</t>
        </is>
      </c>
      <c r="D291" t="inlineStr">
        <is>
          <t>INDOTRUCK</t>
        </is>
      </c>
      <c r="E291" t="inlineStr">
        <is>
          <t>INDOTRUCK UTAMA</t>
        </is>
      </c>
      <c r="F291" t="inlineStr"/>
      <c r="G291" t="inlineStr">
        <is>
          <t>7.26.01208</t>
        </is>
      </c>
      <c r="H291" t="inlineStr">
        <is>
          <t>Leads</t>
        </is>
      </c>
      <c r="I291" t="n">
        <v>0</v>
      </c>
      <c r="J291" t="n">
        <v>114</v>
      </c>
      <c r="K291" t="inlineStr">
        <is>
          <t>Reach Truck 1.5 Ton (1 Unit) _ 1 Tahun _ Canvassing awal &amp; Sales Call</t>
        </is>
      </c>
      <c r="L291">
        <f>IF(AND(H291="Leads", J291&lt;=0), "OVERDUE (IDLE)", IF(AND(H291="Leads", J291&lt;=14), "WARNING (3-14 Days)", IF(AND(H291="Prospect", J291&lt;=0), "PROSPECT EXPIRED", "SAFE / ON TRACK")))</f>
        <v/>
      </c>
    </row>
    <row r="292">
      <c r="A292" t="inlineStr">
        <is>
          <t>Fuji</t>
        </is>
      </c>
      <c r="B292" t="inlineStr"/>
      <c r="C292" t="inlineStr">
        <is>
          <t>Andreas</t>
        </is>
      </c>
      <c r="D292" t="inlineStr">
        <is>
          <t>INTAMBYAGA</t>
        </is>
      </c>
      <c r="E292" t="inlineStr">
        <is>
          <t>INDO TAMBANGRAYA MEGAH</t>
        </is>
      </c>
      <c r="F292" t="inlineStr">
        <is>
          <t>S</t>
        </is>
      </c>
      <c r="G292" t="inlineStr">
        <is>
          <t>7.26.01210</t>
        </is>
      </c>
      <c r="H292" t="inlineStr">
        <is>
          <t>Leads</t>
        </is>
      </c>
      <c r="I292" t="n">
        <v>0</v>
      </c>
      <c r="J292" t="n">
        <v>114</v>
      </c>
      <c r="K292" t="inlineStr">
        <is>
          <t>Reach Truck 1.5 Ton (1 Unit) _ 1 Tahun _ Canvassing awal &amp; Sales Call</t>
        </is>
      </c>
      <c r="L292">
        <f>IF(AND(H292="Leads", J292&lt;=0), "OVERDUE (IDLE)", IF(AND(H292="Leads", J292&lt;=14), "WARNING (3-14 Days)", IF(AND(H292="Prospect", J292&lt;=0), "PROSPECT EXPIRED", "SAFE / ON TRACK")))</f>
        <v/>
      </c>
    </row>
    <row r="293">
      <c r="A293" t="inlineStr">
        <is>
          <t>Fuji</t>
        </is>
      </c>
      <c r="B293" t="inlineStr"/>
      <c r="C293" t="inlineStr">
        <is>
          <t>Andreas</t>
        </is>
      </c>
      <c r="D293" t="inlineStr">
        <is>
          <t>MAN</t>
        </is>
      </c>
      <c r="E293" t="inlineStr">
        <is>
          <t>MESINDO AGUNG NUSANTARA</t>
        </is>
      </c>
      <c r="F293" t="inlineStr"/>
      <c r="G293" t="inlineStr">
        <is>
          <t>7.26.01219</t>
        </is>
      </c>
      <c r="H293" t="inlineStr">
        <is>
          <t>Leads</t>
        </is>
      </c>
      <c r="I293" t="n">
        <v>0</v>
      </c>
      <c r="J293" t="n">
        <v>114</v>
      </c>
      <c r="K293" t="inlineStr">
        <is>
          <t>Reach Truck 1.5 Ton (1 Unit) _ 1 Tahun _ Canvassing awal &amp; Sales Call</t>
        </is>
      </c>
      <c r="L293">
        <f>IF(AND(H293="Leads", J293&lt;=0), "OVERDUE (IDLE)", IF(AND(H293="Leads", J293&lt;=14), "WARNING (3-14 Days)", IF(AND(H293="Prospect", J293&lt;=0), "PROSPECT EXPIRED", "SAFE / ON TRACK")))</f>
        <v/>
      </c>
    </row>
    <row r="294">
      <c r="A294" t="inlineStr">
        <is>
          <t>Fuji</t>
        </is>
      </c>
      <c r="B294" t="inlineStr"/>
      <c r="C294" t="inlineStr">
        <is>
          <t>Andreas</t>
        </is>
      </c>
      <c r="D294" t="inlineStr">
        <is>
          <t>RLMXNUSAMS</t>
        </is>
      </c>
      <c r="E294" t="inlineStr">
        <is>
          <t>ROLIMEX KIMIA NUSAMAS</t>
        </is>
      </c>
      <c r="F294" t="inlineStr">
        <is>
          <t>M</t>
        </is>
      </c>
      <c r="G294" t="inlineStr">
        <is>
          <t>7.26.01257</t>
        </is>
      </c>
      <c r="H294" t="inlineStr">
        <is>
          <t>Leads</t>
        </is>
      </c>
      <c r="I294" t="n">
        <v>0</v>
      </c>
      <c r="J294" t="n">
        <v>114</v>
      </c>
      <c r="K294" t="inlineStr">
        <is>
          <t>Reach Truck 1.5 Ton (1 Unit) _ 1 Tahun _ Canvassing awal &amp; Sales Call</t>
        </is>
      </c>
      <c r="L294">
        <f>IF(AND(H294="Leads", J294&lt;=0), "OVERDUE (IDLE)", IF(AND(H294="Leads", J294&lt;=14), "WARNING (3-14 Days)", IF(AND(H294="Prospect", J294&lt;=0), "PROSPECT EXPIRED", "SAFE / ON TRACK")))</f>
        <v/>
      </c>
    </row>
    <row r="295">
      <c r="A295" t="inlineStr">
        <is>
          <t>Fuji</t>
        </is>
      </c>
      <c r="B295" t="inlineStr"/>
      <c r="C295" t="inlineStr">
        <is>
          <t>Andreas</t>
        </is>
      </c>
      <c r="D295" t="inlineStr">
        <is>
          <t>SURYASID</t>
        </is>
      </c>
      <c r="E295" t="inlineStr">
        <is>
          <t>SURYA SEMESTA INTERNUSA</t>
        </is>
      </c>
      <c r="F295" t="inlineStr"/>
      <c r="G295" t="inlineStr">
        <is>
          <t>7.26.01263</t>
        </is>
      </c>
      <c r="H295" t="inlineStr">
        <is>
          <t>Leads</t>
        </is>
      </c>
      <c r="I295" t="n">
        <v>0</v>
      </c>
      <c r="J295" t="n">
        <v>114</v>
      </c>
      <c r="K295" t="inlineStr">
        <is>
          <t>Reach Truck 1.5 Ton (1 Unit) _ 1 Tahun _ Canvassing awal &amp; Sales Call</t>
        </is>
      </c>
      <c r="L295">
        <f>IF(AND(H295="Leads", J295&lt;=0), "OVERDUE (IDLE)", IF(AND(H295="Leads", J295&lt;=14), "WARNING (3-14 Days)", IF(AND(H295="Prospect", J295&lt;=0), "PROSPECT EXPIRED", "SAFE / ON TRACK")))</f>
        <v/>
      </c>
    </row>
    <row r="296">
      <c r="A296" t="inlineStr">
        <is>
          <t>Fuji</t>
        </is>
      </c>
      <c r="B296" t="inlineStr"/>
      <c r="C296" t="inlineStr">
        <is>
          <t>Andreas</t>
        </is>
      </c>
      <c r="D296" t="inlineStr">
        <is>
          <t>TEKNOLOGI</t>
        </is>
      </c>
      <c r="E296" t="inlineStr">
        <is>
          <t>TEKNOLOGI KARYA DIGITAL NUSA</t>
        </is>
      </c>
      <c r="F296" t="inlineStr"/>
      <c r="G296" t="inlineStr">
        <is>
          <t>7.26.01264</t>
        </is>
      </c>
      <c r="H296" t="inlineStr">
        <is>
          <t>Leads</t>
        </is>
      </c>
      <c r="I296" t="n">
        <v>0</v>
      </c>
      <c r="J296" t="n">
        <v>114</v>
      </c>
      <c r="K296" t="inlineStr">
        <is>
          <t>Reach Truck 1.5 Ton (1 Unit) _ 1 Tahun _ Canvassing awal &amp; Sales Call</t>
        </is>
      </c>
      <c r="L296">
        <f>IF(AND(H296="Leads", J296&lt;=0), "OVERDUE (IDLE)", IF(AND(H296="Leads", J296&lt;=14), "WARNING (3-14 Days)", IF(AND(H296="Prospect", J296&lt;=0), "PROSPECT EXPIRED", "SAFE / ON TRACK")))</f>
        <v/>
      </c>
    </row>
    <row r="297">
      <c r="A297" t="inlineStr">
        <is>
          <t>Fuji</t>
        </is>
      </c>
      <c r="B297" t="inlineStr"/>
      <c r="C297" t="inlineStr">
        <is>
          <t>Andreas</t>
        </is>
      </c>
      <c r="D297" t="inlineStr">
        <is>
          <t>WNR</t>
        </is>
      </c>
      <c r="E297" t="inlineStr">
        <is>
          <t>WAHANA NUSANTARA RUCIKA</t>
        </is>
      </c>
      <c r="F297" t="inlineStr"/>
      <c r="G297" t="inlineStr">
        <is>
          <t>7.26.01268</t>
        </is>
      </c>
      <c r="H297" t="inlineStr">
        <is>
          <t>Leads</t>
        </is>
      </c>
      <c r="I297" t="n">
        <v>0</v>
      </c>
      <c r="J297" t="n">
        <v>114</v>
      </c>
      <c r="K297" t="inlineStr">
        <is>
          <t>Reach Truck 1.5 Ton (1 Unit) _ 1 Tahun _ Canvassing awal &amp; Sales Call</t>
        </is>
      </c>
      <c r="L297">
        <f>IF(AND(H297="Leads", J297&lt;=0), "OVERDUE (IDLE)", IF(AND(H297="Leads", J297&lt;=14), "WARNING (3-14 Days)", IF(AND(H297="Prospect", J297&lt;=0), "PROSPECT EXPIRED", "SAFE / ON TRACK")))</f>
        <v/>
      </c>
    </row>
    <row r="298">
      <c r="A298" t="inlineStr">
        <is>
          <t>Fuji</t>
        </is>
      </c>
      <c r="B298" t="inlineStr"/>
      <c r="C298" t="inlineStr">
        <is>
          <t>Andreas</t>
        </is>
      </c>
      <c r="D298" t="inlineStr">
        <is>
          <t>SEKARBUMI</t>
        </is>
      </c>
      <c r="E298" t="inlineStr">
        <is>
          <t>PT SEKAR BUMI TBK</t>
        </is>
      </c>
      <c r="F298" t="inlineStr">
        <is>
          <t>S</t>
        </is>
      </c>
      <c r="G298" t="inlineStr">
        <is>
          <t>7.26.01274</t>
        </is>
      </c>
      <c r="H298" t="inlineStr">
        <is>
          <t>Leads</t>
        </is>
      </c>
      <c r="I298" t="n">
        <v>0</v>
      </c>
      <c r="J298" t="n">
        <v>114</v>
      </c>
      <c r="K298" t="inlineStr">
        <is>
          <t>Reach Truck 1.5 Ton (1 Unit) _ 1 Tahun _ Canvassing awal &amp; Sales Call</t>
        </is>
      </c>
      <c r="L298">
        <f>IF(AND(H298="Leads", J298&lt;=0), "OVERDUE (IDLE)", IF(AND(H298="Leads", J298&lt;=14), "WARNING (3-14 Days)", IF(AND(H298="Prospect", J298&lt;=0), "PROSPECT EXPIRED", "SAFE / ON TRACK")))</f>
        <v/>
      </c>
    </row>
    <row r="299">
      <c r="A299" t="inlineStr">
        <is>
          <t>Fuji</t>
        </is>
      </c>
      <c r="B299" t="inlineStr"/>
      <c r="C299" t="inlineStr">
        <is>
          <t>Andreas</t>
        </is>
      </c>
      <c r="D299" t="inlineStr">
        <is>
          <t>SENTULCITY</t>
        </is>
      </c>
      <c r="E299" t="inlineStr">
        <is>
          <t>SENTUL CITY</t>
        </is>
      </c>
      <c r="F299" t="inlineStr"/>
      <c r="G299" t="inlineStr">
        <is>
          <t>7.26.01302</t>
        </is>
      </c>
      <c r="H299" t="inlineStr">
        <is>
          <t>Leads</t>
        </is>
      </c>
      <c r="I299" t="n">
        <v>0</v>
      </c>
      <c r="J299" t="n">
        <v>114</v>
      </c>
      <c r="K299" t="inlineStr">
        <is>
          <t>Reach Truck 1.5 Ton (1 Unit) _ 1 Tahun _ Canvassing awal &amp; Sales Call</t>
        </is>
      </c>
      <c r="L299">
        <f>IF(AND(H299="Leads", J299&lt;=0), "OVERDUE (IDLE)", IF(AND(H299="Leads", J299&lt;=14), "WARNING (3-14 Days)", IF(AND(H299="Prospect", J299&lt;=0), "PROSPECT EXPIRED", "SAFE / ON TRACK")))</f>
        <v/>
      </c>
    </row>
    <row r="300">
      <c r="A300" t="inlineStr">
        <is>
          <t>Fuji</t>
        </is>
      </c>
      <c r="B300" t="inlineStr"/>
      <c r="C300" t="inlineStr">
        <is>
          <t>Andreas</t>
        </is>
      </c>
      <c r="D300" t="inlineStr">
        <is>
          <t>TAM</t>
        </is>
      </c>
      <c r="E300" t="inlineStr">
        <is>
          <t>PT TRIMEGAH ASSET MANAGEMENT</t>
        </is>
      </c>
      <c r="F300" t="inlineStr">
        <is>
          <t>L</t>
        </is>
      </c>
      <c r="G300" t="inlineStr">
        <is>
          <t>7.26.01320</t>
        </is>
      </c>
      <c r="H300" t="inlineStr">
        <is>
          <t>Leads</t>
        </is>
      </c>
      <c r="I300" t="n">
        <v>0</v>
      </c>
      <c r="J300" t="n">
        <v>114</v>
      </c>
      <c r="K300" t="inlineStr">
        <is>
          <t>Reach Truck 1.5 Ton (1 Unit) _ 1 Tahun _ Canvassing awal &amp; Sales Call</t>
        </is>
      </c>
      <c r="L300">
        <f>IF(AND(H300="Leads", J300&lt;=0), "OVERDUE (IDLE)", IF(AND(H300="Leads", J300&lt;=14), "WARNING (3-14 Days)", IF(AND(H300="Prospect", J300&lt;=0), "PROSPECT EXPIRED", "SAFE / ON TRACK")))</f>
        <v/>
      </c>
    </row>
    <row r="301">
      <c r="A301" t="inlineStr">
        <is>
          <t>Fuji</t>
        </is>
      </c>
      <c r="B301" t="inlineStr"/>
      <c r="C301" t="inlineStr">
        <is>
          <t>Andreas</t>
        </is>
      </c>
      <c r="D301" t="inlineStr">
        <is>
          <t>DAYA</t>
        </is>
      </c>
      <c r="E301" t="inlineStr">
        <is>
          <t>DAYA UTAMA BERSAMA</t>
        </is>
      </c>
      <c r="F301" t="inlineStr">
        <is>
          <t>L</t>
        </is>
      </c>
      <c r="G301" t="inlineStr">
        <is>
          <t>7.26.01334</t>
        </is>
      </c>
      <c r="H301" t="inlineStr">
        <is>
          <t>Leads</t>
        </is>
      </c>
      <c r="I301" t="n">
        <v>0</v>
      </c>
      <c r="J301" t="n">
        <v>114</v>
      </c>
      <c r="K301" t="inlineStr">
        <is>
          <t>Reach Truck 1.5 Ton (1 Unit) _ 1 Tahun _ Canvassing awal &amp; Sales Call</t>
        </is>
      </c>
      <c r="L301">
        <f>IF(AND(H301="Leads", J301&lt;=0), "OVERDUE (IDLE)", IF(AND(H301="Leads", J301&lt;=14), "WARNING (3-14 Days)", IF(AND(H301="Prospect", J301&lt;=0), "PROSPECT EXPIRED", "SAFE / ON TRACK")))</f>
        <v/>
      </c>
    </row>
    <row r="302">
      <c r="A302" t="inlineStr">
        <is>
          <t>Fuji</t>
        </is>
      </c>
      <c r="B302" t="inlineStr"/>
      <c r="C302" t="inlineStr">
        <is>
          <t>Andreas</t>
        </is>
      </c>
      <c r="D302" t="inlineStr">
        <is>
          <t>SMPRNAMKS</t>
        </is>
      </c>
      <c r="E302" t="inlineStr">
        <is>
          <t>PT SAMPURNA MAKMUR SEJAHTERA</t>
        </is>
      </c>
      <c r="F302" t="inlineStr">
        <is>
          <t>S</t>
        </is>
      </c>
      <c r="G302" t="inlineStr">
        <is>
          <t>7.26.01351</t>
        </is>
      </c>
      <c r="H302" t="inlineStr">
        <is>
          <t>Leads</t>
        </is>
      </c>
      <c r="I302" t="n">
        <v>0</v>
      </c>
      <c r="J302" t="n">
        <v>114</v>
      </c>
      <c r="K302" t="inlineStr">
        <is>
          <t>Reach Truck 1.5 Ton (1 Unit) _ 1 Tahun _ Canvassing awal &amp; Sales Call</t>
        </is>
      </c>
      <c r="L302">
        <f>IF(AND(H302="Leads", J302&lt;=0), "OVERDUE (IDLE)", IF(AND(H302="Leads", J302&lt;=14), "WARNING (3-14 Days)", IF(AND(H302="Prospect", J302&lt;=0), "PROSPECT EXPIRED", "SAFE / ON TRACK")))</f>
        <v/>
      </c>
    </row>
    <row r="303">
      <c r="A303" t="inlineStr">
        <is>
          <t>Fuji</t>
        </is>
      </c>
      <c r="B303" t="inlineStr"/>
      <c r="C303" t="inlineStr">
        <is>
          <t>Andreas</t>
        </is>
      </c>
      <c r="D303" t="inlineStr">
        <is>
          <t>TRANSAMUDR</t>
        </is>
      </c>
      <c r="E303" t="inlineStr">
        <is>
          <t>PT TRANSAMUDRA USAHA SEJAHTERA</t>
        </is>
      </c>
      <c r="F303" t="inlineStr">
        <is>
          <t>S</t>
        </is>
      </c>
      <c r="G303" t="inlineStr">
        <is>
          <t>7.26.01353</t>
        </is>
      </c>
      <c r="H303" t="inlineStr">
        <is>
          <t>Leads</t>
        </is>
      </c>
      <c r="I303" t="n">
        <v>0</v>
      </c>
      <c r="J303" t="n">
        <v>114</v>
      </c>
      <c r="K303" t="inlineStr">
        <is>
          <t>Reach Truck 1.5 Ton (1 Unit) _ 1 Tahun _ Canvassing awal &amp; Sales Call</t>
        </is>
      </c>
      <c r="L303">
        <f>IF(AND(H303="Leads", J303&lt;=0), "OVERDUE (IDLE)", IF(AND(H303="Leads", J303&lt;=14), "WARNING (3-14 Days)", IF(AND(H303="Prospect", J303&lt;=0), "PROSPECT EXPIRED", "SAFE / ON TRACK")))</f>
        <v/>
      </c>
    </row>
    <row r="304">
      <c r="A304" t="inlineStr">
        <is>
          <t>Fuji</t>
        </is>
      </c>
      <c r="B304" t="inlineStr"/>
      <c r="C304" t="inlineStr">
        <is>
          <t>Andreas</t>
        </is>
      </c>
      <c r="D304" t="inlineStr">
        <is>
          <t>TUGU</t>
        </is>
      </c>
      <c r="E304" t="inlineStr">
        <is>
          <t>ASURANSI SAMSUNG TUGU</t>
        </is>
      </c>
      <c r="F304" t="inlineStr"/>
      <c r="G304" t="inlineStr">
        <is>
          <t>7.26.01354</t>
        </is>
      </c>
      <c r="H304" t="inlineStr">
        <is>
          <t>Leads</t>
        </is>
      </c>
      <c r="I304" t="n">
        <v>0</v>
      </c>
      <c r="J304" t="n">
        <v>114</v>
      </c>
      <c r="K304" t="inlineStr">
        <is>
          <t>Reach Truck 1.5 Ton (1 Unit) _ 1 Tahun _ Canvassing awal &amp; Sales Call</t>
        </is>
      </c>
      <c r="L304">
        <f>IF(AND(H304="Leads", J304&lt;=0), "OVERDUE (IDLE)", IF(AND(H304="Leads", J304&lt;=14), "WARNING (3-14 Days)", IF(AND(H304="Prospect", J304&lt;=0), "PROSPECT EXPIRED", "SAFE / ON TRACK")))</f>
        <v/>
      </c>
    </row>
    <row r="305">
      <c r="A305" t="inlineStr">
        <is>
          <t>Fuji</t>
        </is>
      </c>
      <c r="B305" t="inlineStr"/>
      <c r="C305" t="inlineStr">
        <is>
          <t>Andreas</t>
        </is>
      </c>
      <c r="D305" t="inlineStr">
        <is>
          <t>TANJUNGAJY</t>
        </is>
      </c>
      <c r="E305" t="inlineStr">
        <is>
          <t>TANJUNG ALAM JAYA</t>
        </is>
      </c>
      <c r="F305" t="inlineStr"/>
      <c r="G305" t="inlineStr">
        <is>
          <t>7.26.01384</t>
        </is>
      </c>
      <c r="H305" t="inlineStr">
        <is>
          <t>Leads</t>
        </is>
      </c>
      <c r="I305" t="n">
        <v>0</v>
      </c>
      <c r="J305" t="n">
        <v>114</v>
      </c>
      <c r="K305" t="inlineStr">
        <is>
          <t>Reach Truck 1.5 Ton (1 Unit) _ 1 Tahun _ Canvassing awal &amp; Sales Call</t>
        </is>
      </c>
      <c r="L305">
        <f>IF(AND(H305="Leads", J305&lt;=0), "OVERDUE (IDLE)", IF(AND(H305="Leads", J305&lt;=14), "WARNING (3-14 Days)", IF(AND(H305="Prospect", J305&lt;=0), "PROSPECT EXPIRED", "SAFE / ON TRACK")))</f>
        <v/>
      </c>
    </row>
    <row r="306">
      <c r="A306" t="inlineStr">
        <is>
          <t>Fuji</t>
        </is>
      </c>
      <c r="B306" t="inlineStr"/>
      <c r="C306" t="inlineStr">
        <is>
          <t>Andreas</t>
        </is>
      </c>
      <c r="D306" t="inlineStr">
        <is>
          <t>OJI</t>
        </is>
      </c>
      <c r="E306" t="inlineStr">
        <is>
          <t>OJI SINARMAS PACKAGING</t>
        </is>
      </c>
      <c r="F306" t="inlineStr"/>
      <c r="G306" t="inlineStr">
        <is>
          <t>7.26.01394</t>
        </is>
      </c>
      <c r="H306" t="inlineStr">
        <is>
          <t>Leads</t>
        </is>
      </c>
      <c r="I306" t="n">
        <v>0</v>
      </c>
      <c r="J306" t="n">
        <v>114</v>
      </c>
      <c r="K306" t="inlineStr">
        <is>
          <t>Reach Truck 1.5 Ton (1 Unit) _ 1 Tahun _ Canvassing awal &amp; Sales Call</t>
        </is>
      </c>
      <c r="L306">
        <f>IF(AND(H306="Leads", J306&lt;=0), "OVERDUE (IDLE)", IF(AND(H306="Leads", J306&lt;=14), "WARNING (3-14 Days)", IF(AND(H306="Prospect", J306&lt;=0), "PROSPECT EXPIRED", "SAFE / ON TRACK")))</f>
        <v/>
      </c>
    </row>
    <row r="307">
      <c r="A307" t="inlineStr">
        <is>
          <t>Fuji</t>
        </is>
      </c>
      <c r="B307" t="inlineStr"/>
      <c r="C307" t="inlineStr">
        <is>
          <t>Andreas</t>
        </is>
      </c>
      <c r="D307" t="inlineStr">
        <is>
          <t>PANPACIFIC</t>
        </is>
      </c>
      <c r="E307" t="inlineStr">
        <is>
          <t>PAN PACIFIC JAKARTA</t>
        </is>
      </c>
      <c r="F307" t="inlineStr"/>
      <c r="G307" t="inlineStr">
        <is>
          <t>7.26.01396</t>
        </is>
      </c>
      <c r="H307" t="inlineStr">
        <is>
          <t>Leads</t>
        </is>
      </c>
      <c r="I307" t="n">
        <v>0</v>
      </c>
      <c r="J307" t="n">
        <v>114</v>
      </c>
      <c r="K307" t="inlineStr">
        <is>
          <t>Reach Truck 1.5 Ton (1 Unit) _ 1 Tahun _ Canvassing awal &amp; Sales Call</t>
        </is>
      </c>
      <c r="L307">
        <f>IF(AND(H307="Leads", J307&lt;=0), "OVERDUE (IDLE)", IF(AND(H307="Leads", J307&lt;=14), "WARNING (3-14 Days)", IF(AND(H307="Prospect", J307&lt;=0), "PROSPECT EXPIRED", "SAFE / ON TRACK")))</f>
        <v/>
      </c>
    </row>
    <row r="308">
      <c r="A308" t="inlineStr">
        <is>
          <t>Fuji</t>
        </is>
      </c>
      <c r="B308" t="inlineStr"/>
      <c r="C308" t="inlineStr">
        <is>
          <t>Andreas</t>
        </is>
      </c>
      <c r="D308" t="inlineStr">
        <is>
          <t>SOPRA</t>
        </is>
      </c>
      <c r="E308" t="inlineStr">
        <is>
          <t>SOLUSI PRIMA PACKAGING</t>
        </is>
      </c>
      <c r="F308" t="inlineStr"/>
      <c r="G308" t="inlineStr">
        <is>
          <t>7.26.01402</t>
        </is>
      </c>
      <c r="H308" t="inlineStr">
        <is>
          <t>Leads</t>
        </is>
      </c>
      <c r="I308" t="n">
        <v>0</v>
      </c>
      <c r="J308" t="n">
        <v>114</v>
      </c>
      <c r="K308" t="inlineStr">
        <is>
          <t>Reach Truck 1.5 Ton (1 Unit) _ 1 Tahun _ Canvassing awal &amp; Sales Call</t>
        </is>
      </c>
      <c r="L308">
        <f>IF(AND(H308="Leads", J308&lt;=0), "OVERDUE (IDLE)", IF(AND(H308="Leads", J308&lt;=14), "WARNING (3-14 Days)", IF(AND(H308="Prospect", J308&lt;=0), "PROSPECT EXPIRED", "SAFE / ON TRACK")))</f>
        <v/>
      </c>
    </row>
    <row r="309">
      <c r="A309" t="inlineStr">
        <is>
          <t>Fuji</t>
        </is>
      </c>
      <c r="B309" t="inlineStr"/>
      <c r="C309" t="inlineStr">
        <is>
          <t>Andreas</t>
        </is>
      </c>
      <c r="D309" t="inlineStr">
        <is>
          <t>BME</t>
        </is>
      </c>
      <c r="E309" t="inlineStr">
        <is>
          <t>BERKAT MANUNGGAL ENERGI</t>
        </is>
      </c>
      <c r="F309" t="inlineStr"/>
      <c r="G309" t="inlineStr">
        <is>
          <t>7.26.01415</t>
        </is>
      </c>
      <c r="H309" t="inlineStr">
        <is>
          <t>Leads</t>
        </is>
      </c>
      <c r="I309" t="n">
        <v>0</v>
      </c>
      <c r="J309" t="n">
        <v>114</v>
      </c>
      <c r="K309" t="inlineStr">
        <is>
          <t>Reach Truck 1.5 Ton (1 Unit) _ 1 Tahun _ Canvassing awal &amp; Sales Call</t>
        </is>
      </c>
      <c r="L309">
        <f>IF(AND(H309="Leads", J309&lt;=0), "OVERDUE (IDLE)", IF(AND(H309="Leads", J309&lt;=14), "WARNING (3-14 Days)", IF(AND(H309="Prospect", J309&lt;=0), "PROSPECT EXPIRED", "SAFE / ON TRACK")))</f>
        <v/>
      </c>
    </row>
    <row r="310">
      <c r="A310" t="inlineStr">
        <is>
          <t>Fuji</t>
        </is>
      </c>
      <c r="B310" t="inlineStr"/>
      <c r="C310" t="inlineStr">
        <is>
          <t>Andreas</t>
        </is>
      </c>
      <c r="D310" t="inlineStr">
        <is>
          <t>TIMAHAGRMN</t>
        </is>
      </c>
      <c r="E310" t="inlineStr">
        <is>
          <t>TIMAH AGRO MANUNGGAL</t>
        </is>
      </c>
      <c r="F310" t="inlineStr"/>
      <c r="G310" t="inlineStr">
        <is>
          <t>7.26.01424</t>
        </is>
      </c>
      <c r="H310" t="inlineStr">
        <is>
          <t>Leads</t>
        </is>
      </c>
      <c r="I310" t="n">
        <v>0</v>
      </c>
      <c r="J310" t="n">
        <v>114</v>
      </c>
      <c r="K310" t="inlineStr">
        <is>
          <t>Reach Truck 1.5 Ton (1 Unit) _ 1 Tahun _ Canvassing awal &amp; Sales Call</t>
        </is>
      </c>
      <c r="L310">
        <f>IF(AND(H310="Leads", J310&lt;=0), "OVERDUE (IDLE)", IF(AND(H310="Leads", J310&lt;=14), "WARNING (3-14 Days)", IF(AND(H310="Prospect", J310&lt;=0), "PROSPECT EXPIRED", "SAFE / ON TRACK")))</f>
        <v/>
      </c>
    </row>
    <row r="311">
      <c r="A311" t="inlineStr">
        <is>
          <t>Fuji</t>
        </is>
      </c>
      <c r="B311" t="inlineStr"/>
      <c r="C311" t="inlineStr">
        <is>
          <t>Andreas</t>
        </is>
      </c>
      <c r="D311" t="inlineStr">
        <is>
          <t>MPPU</t>
        </is>
      </c>
      <c r="E311" t="inlineStr">
        <is>
          <t>PT MACRO PRIMA PANGAN UTAMA</t>
        </is>
      </c>
      <c r="F311" t="inlineStr">
        <is>
          <t>S</t>
        </is>
      </c>
      <c r="G311" t="inlineStr">
        <is>
          <t>7.26.01442</t>
        </is>
      </c>
      <c r="H311" t="inlineStr">
        <is>
          <t>Leads</t>
        </is>
      </c>
      <c r="I311" t="n">
        <v>0</v>
      </c>
      <c r="J311" t="n">
        <v>114</v>
      </c>
      <c r="K311" t="inlineStr">
        <is>
          <t>Reach Truck 1.5 Ton (1 Unit) _ 1 Tahun _ Canvassing awal &amp; Sales Call</t>
        </is>
      </c>
      <c r="L311">
        <f>IF(AND(H311="Leads", J311&lt;=0), "OVERDUE (IDLE)", IF(AND(H311="Leads", J311&lt;=14), "WARNING (3-14 Days)", IF(AND(H311="Prospect", J311&lt;=0), "PROSPECT EXPIRED", "SAFE / ON TRACK")))</f>
        <v/>
      </c>
    </row>
    <row r="312">
      <c r="A312" t="inlineStr">
        <is>
          <t>Fuji</t>
        </is>
      </c>
      <c r="B312" t="inlineStr"/>
      <c r="C312" t="inlineStr">
        <is>
          <t>Andreas</t>
        </is>
      </c>
      <c r="D312" t="inlineStr">
        <is>
          <t>RPL</t>
        </is>
      </c>
      <c r="E312" t="inlineStr">
        <is>
          <t>RODA PRIMA LANCAR</t>
        </is>
      </c>
      <c r="F312" t="inlineStr">
        <is>
          <t>S</t>
        </is>
      </c>
      <c r="G312" t="inlineStr">
        <is>
          <t>7.26.01453</t>
        </is>
      </c>
      <c r="H312" t="inlineStr">
        <is>
          <t>Leads</t>
        </is>
      </c>
      <c r="I312" t="n">
        <v>0</v>
      </c>
      <c r="J312" t="n">
        <v>114</v>
      </c>
      <c r="K312" t="inlineStr">
        <is>
          <t>Reach Truck 1.5 Ton (1 Unit) _ 1 Tahun _ Canvassing awal &amp; Sales Call</t>
        </is>
      </c>
      <c r="L312">
        <f>IF(AND(H312="Leads", J312&lt;=0), "OVERDUE (IDLE)", IF(AND(H312="Leads", J312&lt;=14), "WARNING (3-14 Days)", IF(AND(H312="Prospect", J312&lt;=0), "PROSPECT EXPIRED", "SAFE / ON TRACK")))</f>
        <v/>
      </c>
    </row>
    <row r="313">
      <c r="A313" t="inlineStr">
        <is>
          <t>Fuji</t>
        </is>
      </c>
      <c r="B313" t="inlineStr"/>
      <c r="C313" t="inlineStr">
        <is>
          <t>Andreas</t>
        </is>
      </c>
      <c r="D313" t="inlineStr">
        <is>
          <t>SMTRAFIBER</t>
        </is>
      </c>
      <c r="E313" t="inlineStr">
        <is>
          <t>PT SUMATERA PRIMA FIBREBOARD</t>
        </is>
      </c>
      <c r="F313" t="inlineStr">
        <is>
          <t>L</t>
        </is>
      </c>
      <c r="G313" t="inlineStr">
        <is>
          <t>7.26.01469</t>
        </is>
      </c>
      <c r="H313" t="inlineStr">
        <is>
          <t>Prospect</t>
        </is>
      </c>
      <c r="I313" t="n">
        <v>64</v>
      </c>
      <c r="J313" t="n">
        <v>244</v>
      </c>
      <c r="K313" t="inlineStr">
        <is>
          <t>Forklift 3 Ton (2 Unit) _ 2 Tahun _ SPH Dikirim ke User</t>
        </is>
      </c>
      <c r="L313">
        <f>IF(AND(H313="Leads", J313&lt;=0), "OVERDUE (IDLE)", IF(AND(H313="Leads", J313&lt;=14), "WARNING (3-14 Days)", IF(AND(H313="Prospect", J313&lt;=0), "PROSPECT EXPIRED", "SAFE / ON TRACK")))</f>
        <v/>
      </c>
    </row>
    <row r="314">
      <c r="A314" t="inlineStr">
        <is>
          <t>Fuji</t>
        </is>
      </c>
      <c r="B314" t="inlineStr"/>
      <c r="C314" t="inlineStr">
        <is>
          <t>Andreas</t>
        </is>
      </c>
      <c r="D314" t="inlineStr">
        <is>
          <t>SEAINSURE</t>
        </is>
      </c>
      <c r="E314" t="inlineStr">
        <is>
          <t>PT ASURANSI JIWA SEAINSURE TBK</t>
        </is>
      </c>
      <c r="F314" t="inlineStr">
        <is>
          <t>S</t>
        </is>
      </c>
      <c r="G314" t="inlineStr">
        <is>
          <t>7.26.01509</t>
        </is>
      </c>
      <c r="H314" t="inlineStr">
        <is>
          <t>Leads</t>
        </is>
      </c>
      <c r="I314" t="n">
        <v>0</v>
      </c>
      <c r="J314" t="n">
        <v>114</v>
      </c>
      <c r="K314" t="inlineStr">
        <is>
          <t>Reach Truck 1.5 Ton (1 Unit) _ 1 Tahun _ Canvassing awal &amp; Sales Call</t>
        </is>
      </c>
      <c r="L314">
        <f>IF(AND(H314="Leads", J314&lt;=0), "OVERDUE (IDLE)", IF(AND(H314="Leads", J314&lt;=14), "WARNING (3-14 Days)", IF(AND(H314="Prospect", J314&lt;=0), "PROSPECT EXPIRED", "SAFE / ON TRACK")))</f>
        <v/>
      </c>
    </row>
    <row r="315">
      <c r="A315" t="inlineStr">
        <is>
          <t>Fuji</t>
        </is>
      </c>
      <c r="B315" t="inlineStr"/>
      <c r="C315" t="inlineStr">
        <is>
          <t>Andreas</t>
        </is>
      </c>
      <c r="D315" t="inlineStr">
        <is>
          <t>PDSP</t>
        </is>
      </c>
      <c r="E315" t="inlineStr">
        <is>
          <t>PADMA SARI PANGAN</t>
        </is>
      </c>
      <c r="F315" t="inlineStr"/>
      <c r="G315" t="inlineStr">
        <is>
          <t>7.26.01515</t>
        </is>
      </c>
      <c r="H315" t="inlineStr">
        <is>
          <t>Leads</t>
        </is>
      </c>
      <c r="I315" t="n">
        <v>0</v>
      </c>
      <c r="J315" t="n">
        <v>114</v>
      </c>
      <c r="K315" t="inlineStr">
        <is>
          <t>Reach Truck 1.5 Ton (1 Unit) _ 1 Tahun _ Canvassing awal &amp; Sales Call</t>
        </is>
      </c>
      <c r="L315">
        <f>IF(AND(H315="Leads", J315&lt;=0), "OVERDUE (IDLE)", IF(AND(H315="Leads", J315&lt;=14), "WARNING (3-14 Days)", IF(AND(H315="Prospect", J315&lt;=0), "PROSPECT EXPIRED", "SAFE / ON TRACK")))</f>
        <v/>
      </c>
    </row>
    <row r="316">
      <c r="A316" t="inlineStr">
        <is>
          <t>Fuji</t>
        </is>
      </c>
      <c r="B316" t="inlineStr"/>
      <c r="C316" t="inlineStr">
        <is>
          <t>Andreas</t>
        </is>
      </c>
      <c r="D316" t="inlineStr">
        <is>
          <t>SANQUA</t>
        </is>
      </c>
      <c r="E316" t="inlineStr">
        <is>
          <t>WAHANA INTI MAS</t>
        </is>
      </c>
      <c r="F316" t="inlineStr"/>
      <c r="G316" t="inlineStr">
        <is>
          <t>7.26.01550</t>
        </is>
      </c>
      <c r="H316" t="inlineStr">
        <is>
          <t>Leads</t>
        </is>
      </c>
      <c r="I316" t="n">
        <v>0</v>
      </c>
      <c r="J316" t="n">
        <v>114</v>
      </c>
      <c r="K316" t="inlineStr">
        <is>
          <t>Reach Truck 1.5 Ton (1 Unit) _ 1 Tahun _ Canvassing awal &amp; Sales Call</t>
        </is>
      </c>
      <c r="L316">
        <f>IF(AND(H316="Leads", J316&lt;=0), "OVERDUE (IDLE)", IF(AND(H316="Leads", J316&lt;=14), "WARNING (3-14 Days)", IF(AND(H316="Prospect", J316&lt;=0), "PROSPECT EXPIRED", "SAFE / ON TRACK")))</f>
        <v/>
      </c>
    </row>
    <row r="317">
      <c r="A317" t="inlineStr">
        <is>
          <t>Fuji</t>
        </is>
      </c>
      <c r="B317" t="inlineStr"/>
      <c r="C317" t="inlineStr">
        <is>
          <t>Andreas</t>
        </is>
      </c>
      <c r="D317" t="inlineStr">
        <is>
          <t>TERRYP</t>
        </is>
      </c>
      <c r="E317" t="inlineStr">
        <is>
          <t>TERRY PALMER LAUNDRY</t>
        </is>
      </c>
      <c r="F317" t="inlineStr"/>
      <c r="G317" t="inlineStr">
        <is>
          <t>7.26.01585</t>
        </is>
      </c>
      <c r="H317" t="inlineStr">
        <is>
          <t>Leads</t>
        </is>
      </c>
      <c r="I317" t="n">
        <v>0</v>
      </c>
      <c r="J317" t="n">
        <v>114</v>
      </c>
      <c r="K317" t="inlineStr">
        <is>
          <t>Reach Truck 1.5 Ton (1 Unit) _ 1 Tahun _ Canvassing awal &amp; Sales Call</t>
        </is>
      </c>
      <c r="L317">
        <f>IF(AND(H317="Leads", J317&lt;=0), "OVERDUE (IDLE)", IF(AND(H317="Leads", J317&lt;=14), "WARNING (3-14 Days)", IF(AND(H317="Prospect", J317&lt;=0), "PROSPECT EXPIRED", "SAFE / ON TRACK")))</f>
        <v/>
      </c>
    </row>
    <row r="318">
      <c r="A318" t="inlineStr">
        <is>
          <t>Fuji</t>
        </is>
      </c>
      <c r="B318" t="inlineStr"/>
      <c r="C318" t="inlineStr">
        <is>
          <t>Andreas</t>
        </is>
      </c>
      <c r="D318" t="inlineStr">
        <is>
          <t>TEF</t>
        </is>
      </c>
      <c r="E318" t="inlineStr">
        <is>
          <t>TOKKI ENGINEERING AND FABRICATION</t>
        </is>
      </c>
      <c r="F318" t="inlineStr"/>
      <c r="G318" t="inlineStr">
        <is>
          <t>7.26.01594</t>
        </is>
      </c>
      <c r="H318" t="inlineStr">
        <is>
          <t>Leads</t>
        </is>
      </c>
      <c r="I318" t="n">
        <v>0</v>
      </c>
      <c r="J318" t="n">
        <v>114</v>
      </c>
      <c r="K318" t="inlineStr">
        <is>
          <t>Reach Truck 1.5 Ton (1 Unit) _ 1 Tahun _ Canvassing awal &amp; Sales Call</t>
        </is>
      </c>
      <c r="L318">
        <f>IF(AND(H318="Leads", J318&lt;=0), "OVERDUE (IDLE)", IF(AND(H318="Leads", J318&lt;=14), "WARNING (3-14 Days)", IF(AND(H318="Prospect", J318&lt;=0), "PROSPECT EXPIRED", "SAFE / ON TRACK")))</f>
        <v/>
      </c>
    </row>
    <row r="319">
      <c r="A319" t="inlineStr">
        <is>
          <t>Fuji</t>
        </is>
      </c>
      <c r="B319" t="inlineStr"/>
      <c r="C319" t="inlineStr">
        <is>
          <t>Andreas</t>
        </is>
      </c>
      <c r="D319" t="inlineStr">
        <is>
          <t>MEDIFARMA</t>
        </is>
      </c>
      <c r="E319" t="inlineStr">
        <is>
          <t>MEDIFARMA LABORATORIES</t>
        </is>
      </c>
      <c r="F319" t="inlineStr"/>
      <c r="G319" t="inlineStr">
        <is>
          <t>7.26.01634</t>
        </is>
      </c>
      <c r="H319" t="inlineStr">
        <is>
          <t>Leads</t>
        </is>
      </c>
      <c r="I319" t="n">
        <v>0</v>
      </c>
      <c r="J319" t="n">
        <v>114</v>
      </c>
      <c r="K319" t="inlineStr">
        <is>
          <t>Reach Truck 1.5 Ton (1 Unit) _ 1 Tahun _ Canvassing awal &amp; Sales Call</t>
        </is>
      </c>
      <c r="L319">
        <f>IF(AND(H319="Leads", J319&lt;=0), "OVERDUE (IDLE)", IF(AND(H319="Leads", J319&lt;=14), "WARNING (3-14 Days)", IF(AND(H319="Prospect", J319&lt;=0), "PROSPECT EXPIRED", "SAFE / ON TRACK")))</f>
        <v/>
      </c>
    </row>
    <row r="320">
      <c r="A320" t="inlineStr">
        <is>
          <t>Fuji</t>
        </is>
      </c>
      <c r="B320" t="inlineStr"/>
      <c r="C320" t="inlineStr">
        <is>
          <t>Andreas</t>
        </is>
      </c>
      <c r="D320" t="inlineStr">
        <is>
          <t>UNITEDAAR</t>
        </is>
      </c>
      <c r="E320" t="inlineStr">
        <is>
          <t>UNITEDA ARKATO</t>
        </is>
      </c>
      <c r="F320" t="inlineStr"/>
      <c r="G320" t="inlineStr">
        <is>
          <t>7.26.01642</t>
        </is>
      </c>
      <c r="H320" t="inlineStr">
        <is>
          <t>Leads</t>
        </is>
      </c>
      <c r="I320" t="n">
        <v>0</v>
      </c>
      <c r="J320" t="n">
        <v>114</v>
      </c>
      <c r="K320" t="inlineStr">
        <is>
          <t>Reach Truck 1.5 Ton (1 Unit) _ 1 Tahun _ Canvassing awal &amp; Sales Call</t>
        </is>
      </c>
      <c r="L320">
        <f>IF(AND(H320="Leads", J320&lt;=0), "OVERDUE (IDLE)", IF(AND(H320="Leads", J320&lt;=14), "WARNING (3-14 Days)", IF(AND(H320="Prospect", J320&lt;=0), "PROSPECT EXPIRED", "SAFE / ON TRACK")))</f>
        <v/>
      </c>
    </row>
    <row r="321">
      <c r="A321" t="inlineStr">
        <is>
          <t>Fuji</t>
        </is>
      </c>
      <c r="B321" t="inlineStr"/>
      <c r="C321" t="inlineStr">
        <is>
          <t>Andreas</t>
        </is>
      </c>
      <c r="D321" t="inlineStr">
        <is>
          <t>BERKAHA</t>
        </is>
      </c>
      <c r="E321" t="inlineStr">
        <is>
          <t>BERKAH AUTO RAYA</t>
        </is>
      </c>
      <c r="F321" t="inlineStr"/>
      <c r="G321" t="inlineStr">
        <is>
          <t>7.26.01668</t>
        </is>
      </c>
      <c r="H321" t="inlineStr">
        <is>
          <t>Leads</t>
        </is>
      </c>
      <c r="I321" t="n">
        <v>0</v>
      </c>
      <c r="J321" t="n">
        <v>114</v>
      </c>
      <c r="K321" t="inlineStr">
        <is>
          <t>Reach Truck 1.5 Ton (1 Unit) _ 1 Tahun _ Canvassing awal &amp; Sales Call</t>
        </is>
      </c>
      <c r="L321">
        <f>IF(AND(H321="Leads", J321&lt;=0), "OVERDUE (IDLE)", IF(AND(H321="Leads", J321&lt;=14), "WARNING (3-14 Days)", IF(AND(H321="Prospect", J321&lt;=0), "PROSPECT EXPIRED", "SAFE / ON TRACK")))</f>
        <v/>
      </c>
    </row>
    <row r="322">
      <c r="A322" t="inlineStr">
        <is>
          <t>Fuji</t>
        </is>
      </c>
      <c r="B322" t="inlineStr"/>
      <c r="C322" t="inlineStr">
        <is>
          <t>Andreas</t>
        </is>
      </c>
      <c r="D322" t="inlineStr">
        <is>
          <t>BERNOFARM</t>
        </is>
      </c>
      <c r="E322" t="inlineStr">
        <is>
          <t>BERNOFARM</t>
        </is>
      </c>
      <c r="F322" t="inlineStr"/>
      <c r="G322" t="inlineStr">
        <is>
          <t>7.26.01669</t>
        </is>
      </c>
      <c r="H322" t="inlineStr">
        <is>
          <t>Leads</t>
        </is>
      </c>
      <c r="I322" t="n">
        <v>0</v>
      </c>
      <c r="J322" t="n">
        <v>114</v>
      </c>
      <c r="K322" t="inlineStr">
        <is>
          <t>Reach Truck 1.5 Ton (1 Unit) _ 1 Tahun _ Canvassing awal &amp; Sales Call</t>
        </is>
      </c>
      <c r="L322">
        <f>IF(AND(H322="Leads", J322&lt;=0), "OVERDUE (IDLE)", IF(AND(H322="Leads", J322&lt;=14), "WARNING (3-14 Days)", IF(AND(H322="Prospect", J322&lt;=0), "PROSPECT EXPIRED", "SAFE / ON TRACK")))</f>
        <v/>
      </c>
    </row>
    <row r="323">
      <c r="A323" t="inlineStr">
        <is>
          <t>Fuji</t>
        </is>
      </c>
      <c r="B323" t="inlineStr"/>
      <c r="C323" t="inlineStr">
        <is>
          <t>Andreas</t>
        </is>
      </c>
      <c r="D323" t="inlineStr">
        <is>
          <t>TALASI</t>
        </is>
      </c>
      <c r="E323" t="inlineStr">
        <is>
          <t>TALASI TRU ORIGIN</t>
        </is>
      </c>
      <c r="F323" t="inlineStr">
        <is>
          <t>S</t>
        </is>
      </c>
      <c r="G323" t="inlineStr">
        <is>
          <t>7.26.01682</t>
        </is>
      </c>
      <c r="H323" t="inlineStr">
        <is>
          <t>Leads</t>
        </is>
      </c>
      <c r="I323" t="n">
        <v>0</v>
      </c>
      <c r="J323" t="n">
        <v>114</v>
      </c>
      <c r="K323" t="inlineStr">
        <is>
          <t>Reach Truck 1.5 Ton (1 Unit) _ 1 Tahun _ Canvassing awal &amp; Sales Call</t>
        </is>
      </c>
      <c r="L323">
        <f>IF(AND(H323="Leads", J323&lt;=0), "OVERDUE (IDLE)", IF(AND(H323="Leads", J323&lt;=14), "WARNING (3-14 Days)", IF(AND(H323="Prospect", J323&lt;=0), "PROSPECT EXPIRED", "SAFE / ON TRACK")))</f>
        <v/>
      </c>
    </row>
    <row r="324">
      <c r="A324" t="inlineStr">
        <is>
          <t>Fuji</t>
        </is>
      </c>
      <c r="B324" t="inlineStr"/>
      <c r="C324" t="inlineStr">
        <is>
          <t>Andreas</t>
        </is>
      </c>
      <c r="D324" t="inlineStr">
        <is>
          <t>DBC</t>
        </is>
      </c>
      <c r="E324" t="inlineStr">
        <is>
          <t>DJABESMEN</t>
        </is>
      </c>
      <c r="F324" t="inlineStr"/>
      <c r="G324" t="inlineStr">
        <is>
          <t>7.26.01696</t>
        </is>
      </c>
      <c r="H324" t="inlineStr">
        <is>
          <t>Leads</t>
        </is>
      </c>
      <c r="I324" t="n">
        <v>0</v>
      </c>
      <c r="J324" t="n">
        <v>114</v>
      </c>
      <c r="K324" t="inlineStr">
        <is>
          <t>Reach Truck 1.5 Ton (1 Unit) _ 1 Tahun _ Canvassing awal &amp; Sales Call</t>
        </is>
      </c>
      <c r="L324">
        <f>IF(AND(H324="Leads", J324&lt;=0), "OVERDUE (IDLE)", IF(AND(H324="Leads", J324&lt;=14), "WARNING (3-14 Days)", IF(AND(H324="Prospect", J324&lt;=0), "PROSPECT EXPIRED", "SAFE / ON TRACK")))</f>
        <v/>
      </c>
    </row>
    <row r="325">
      <c r="A325" t="inlineStr">
        <is>
          <t>Fuji</t>
        </is>
      </c>
      <c r="B325" t="inlineStr"/>
      <c r="C325" t="inlineStr">
        <is>
          <t>Andreas</t>
        </is>
      </c>
      <c r="D325" t="inlineStr">
        <is>
          <t>KUBOTAINDO</t>
        </is>
      </c>
      <c r="E325" t="inlineStr">
        <is>
          <t>KUBOTA INDONESIA</t>
        </is>
      </c>
      <c r="F325" t="inlineStr">
        <is>
          <t>S</t>
        </is>
      </c>
      <c r="G325" t="inlineStr">
        <is>
          <t>7.26.01743</t>
        </is>
      </c>
      <c r="H325" t="inlineStr">
        <is>
          <t>Leads</t>
        </is>
      </c>
      <c r="I325" t="n">
        <v>0</v>
      </c>
      <c r="J325" t="n">
        <v>115</v>
      </c>
      <c r="K325" t="inlineStr">
        <is>
          <t>Reach Truck 1.5 Ton (1 Unit) _ 1 Tahun _ Canvassing awal &amp; Sales Call</t>
        </is>
      </c>
      <c r="L325">
        <f>IF(AND(H325="Leads", J325&lt;=0), "OVERDUE (IDLE)", IF(AND(H325="Leads", J325&lt;=14), "WARNING (3-14 Days)", IF(AND(H325="Prospect", J325&lt;=0), "PROSPECT EXPIRED", "SAFE / ON TRACK")))</f>
        <v/>
      </c>
    </row>
    <row r="326">
      <c r="A326" t="inlineStr">
        <is>
          <t>Fuji</t>
        </is>
      </c>
      <c r="B326" t="inlineStr"/>
      <c r="C326" t="inlineStr">
        <is>
          <t>Andreas</t>
        </is>
      </c>
      <c r="D326" t="inlineStr">
        <is>
          <t>JPAIR</t>
        </is>
      </c>
      <c r="E326" t="inlineStr">
        <is>
          <t>JAPAN AIRLINES</t>
        </is>
      </c>
      <c r="F326" t="inlineStr">
        <is>
          <t>S</t>
        </is>
      </c>
      <c r="G326" t="inlineStr">
        <is>
          <t>7.26.01801</t>
        </is>
      </c>
      <c r="H326" t="inlineStr">
        <is>
          <t>Leads</t>
        </is>
      </c>
      <c r="I326" t="n">
        <v>0</v>
      </c>
      <c r="J326" t="n">
        <v>119</v>
      </c>
      <c r="K326" t="inlineStr">
        <is>
          <t>Reach Truck 1.5 Ton (1 Unit) _ 1 Tahun _ Canvassing awal &amp; Sales Call</t>
        </is>
      </c>
      <c r="L326">
        <f>IF(AND(H326="Leads", J326&lt;=0), "OVERDUE (IDLE)", IF(AND(H326="Leads", J326&lt;=14), "WARNING (3-14 Days)", IF(AND(H326="Prospect", J326&lt;=0), "PROSPECT EXPIRED", "SAFE / ON TRACK")))</f>
        <v/>
      </c>
    </row>
    <row r="327">
      <c r="A327" t="inlineStr">
        <is>
          <t>Fuji</t>
        </is>
      </c>
      <c r="B327" t="inlineStr"/>
      <c r="C327" t="inlineStr">
        <is>
          <t>Andreas</t>
        </is>
      </c>
      <c r="D327" t="inlineStr">
        <is>
          <t>SWA</t>
        </is>
      </c>
      <c r="E327" t="inlineStr">
        <is>
          <t>PT SRIWIJAYA AIR</t>
        </is>
      </c>
      <c r="F327" t="inlineStr">
        <is>
          <t>L</t>
        </is>
      </c>
      <c r="G327" t="inlineStr">
        <is>
          <t>7.26.01810</t>
        </is>
      </c>
      <c r="H327" t="inlineStr">
        <is>
          <t>Leads</t>
        </is>
      </c>
      <c r="I327" t="n">
        <v>0</v>
      </c>
      <c r="J327" t="n">
        <v>119</v>
      </c>
      <c r="K327" t="inlineStr">
        <is>
          <t>Reach Truck 1.5 Ton (1 Unit) _ 1 Tahun _ Canvassing awal &amp; Sales Call</t>
        </is>
      </c>
      <c r="L327">
        <f>IF(AND(H327="Leads", J327&lt;=0), "OVERDUE (IDLE)", IF(AND(H327="Leads", J327&lt;=14), "WARNING (3-14 Days)", IF(AND(H327="Prospect", J327&lt;=0), "PROSPECT EXPIRED", "SAFE / ON TRACK")))</f>
        <v/>
      </c>
    </row>
    <row r="328">
      <c r="A328" t="inlineStr">
        <is>
          <t>Fuji</t>
        </is>
      </c>
      <c r="B328" t="inlineStr"/>
      <c r="C328" t="inlineStr">
        <is>
          <t>Andreas</t>
        </is>
      </c>
      <c r="D328" t="inlineStr">
        <is>
          <t>GGM</t>
        </is>
      </c>
      <c r="E328" t="inlineStr">
        <is>
          <t>PT GOLDEN GRAND MILLS</t>
        </is>
      </c>
      <c r="F328" t="inlineStr">
        <is>
          <t>L</t>
        </is>
      </c>
      <c r="G328" t="inlineStr">
        <is>
          <t>7.26.01815</t>
        </is>
      </c>
      <c r="H328" t="inlineStr">
        <is>
          <t>Prospect</t>
        </is>
      </c>
      <c r="I328" t="n">
        <v>29</v>
      </c>
      <c r="J328" t="n">
        <v>209</v>
      </c>
      <c r="K328" t="inlineStr">
        <is>
          <t>Forklift 3 Ton (2 Unit) _ 2 Tahun _ SPH Dikirim ke User</t>
        </is>
      </c>
      <c r="L328">
        <f>IF(AND(H328="Leads", J328&lt;=0), "OVERDUE (IDLE)", IF(AND(H328="Leads", J328&lt;=14), "WARNING (3-14 Days)", IF(AND(H328="Prospect", J328&lt;=0), "PROSPECT EXPIRED", "SAFE / ON TRACK")))</f>
        <v/>
      </c>
    </row>
    <row r="329">
      <c r="A329" t="inlineStr">
        <is>
          <t>Fuji</t>
        </is>
      </c>
      <c r="B329" t="inlineStr"/>
      <c r="C329" t="inlineStr">
        <is>
          <t>Andreas</t>
        </is>
      </c>
      <c r="D329" t="inlineStr">
        <is>
          <t>KASSAS</t>
        </is>
      </c>
      <c r="E329" t="inlineStr">
        <is>
          <t>PT KERTA ANGGUR SEJAHTERA</t>
        </is>
      </c>
      <c r="F329" t="inlineStr">
        <is>
          <t>L</t>
        </is>
      </c>
      <c r="G329" t="inlineStr">
        <is>
          <t>7.26.01824</t>
        </is>
      </c>
      <c r="H329" t="inlineStr">
        <is>
          <t>Prospect</t>
        </is>
      </c>
      <c r="I329" t="n">
        <v>81</v>
      </c>
      <c r="J329" t="n">
        <v>261</v>
      </c>
      <c r="K329" t="inlineStr">
        <is>
          <t>Forklift 3 Ton (2 Unit) _ 2 Tahun _ SPH Dikirim ke User</t>
        </is>
      </c>
      <c r="L329">
        <f>IF(AND(H329="Leads", J329&lt;=0), "OVERDUE (IDLE)", IF(AND(H329="Leads", J329&lt;=14), "WARNING (3-14 Days)", IF(AND(H329="Prospect", J329&lt;=0), "PROSPECT EXPIRED", "SAFE / ON TRACK")))</f>
        <v/>
      </c>
    </row>
    <row r="330">
      <c r="A330" t="inlineStr">
        <is>
          <t>Fuji</t>
        </is>
      </c>
      <c r="B330" t="inlineStr"/>
      <c r="C330" t="inlineStr">
        <is>
          <t>Andreas</t>
        </is>
      </c>
      <c r="D330" t="inlineStr">
        <is>
          <t>ZORTEA</t>
        </is>
      </c>
      <c r="E330" t="inlineStr">
        <is>
          <t>ZORTEA ASIA PACIFIC</t>
        </is>
      </c>
      <c r="F330" t="inlineStr">
        <is>
          <t>S</t>
        </is>
      </c>
      <c r="G330" t="inlineStr">
        <is>
          <t>7.26.01829</t>
        </is>
      </c>
      <c r="H330" t="inlineStr">
        <is>
          <t>Leads</t>
        </is>
      </c>
      <c r="I330" t="n">
        <v>0</v>
      </c>
      <c r="J330" t="n">
        <v>180</v>
      </c>
      <c r="K330" t="inlineStr">
        <is>
          <t>Reach Truck 1.5 Ton (1 Unit) _ 1 Tahun _ Canvassing awal &amp; Sales Call</t>
        </is>
      </c>
      <c r="L330">
        <f>IF(AND(H330="Leads", J330&lt;=0), "OVERDUE (IDLE)", IF(AND(H330="Leads", J330&lt;=14), "WARNING (3-14 Days)", IF(AND(H330="Prospect", J330&lt;=0), "PROSPECT EXPIRED", "SAFE / ON TRACK")))</f>
        <v/>
      </c>
    </row>
    <row r="331">
      <c r="A331" t="inlineStr">
        <is>
          <t>Fuji</t>
        </is>
      </c>
      <c r="B331" t="inlineStr"/>
      <c r="C331" t="inlineStr">
        <is>
          <t>Andreas</t>
        </is>
      </c>
      <c r="D331" t="inlineStr">
        <is>
          <t>ENNEOS</t>
        </is>
      </c>
      <c r="E331" t="inlineStr">
        <is>
          <t>PT NIPPON OIL INDONESIA</t>
        </is>
      </c>
      <c r="F331" t="inlineStr">
        <is>
          <t>M</t>
        </is>
      </c>
      <c r="G331" t="inlineStr">
        <is>
          <t>7.26.01837</t>
        </is>
      </c>
      <c r="H331" t="inlineStr">
        <is>
          <t>Leads</t>
        </is>
      </c>
      <c r="I331" t="n">
        <v>0</v>
      </c>
      <c r="J331" t="n">
        <v>141</v>
      </c>
      <c r="K331" t="inlineStr">
        <is>
          <t>Reach Truck 1.5 Ton (1 Unit) _ 1 Tahun _ Canvassing awal &amp; Sales Call</t>
        </is>
      </c>
      <c r="L331">
        <f>IF(AND(H331="Leads", J331&lt;=0), "OVERDUE (IDLE)", IF(AND(H331="Leads", J331&lt;=14), "WARNING (3-14 Days)", IF(AND(H331="Prospect", J331&lt;=0), "PROSPECT EXPIRED", "SAFE / ON TRACK")))</f>
        <v/>
      </c>
    </row>
    <row r="332">
      <c r="A332" t="inlineStr">
        <is>
          <t>Fuji</t>
        </is>
      </c>
      <c r="B332" t="inlineStr"/>
      <c r="C332" t="inlineStr">
        <is>
          <t>Andreas</t>
        </is>
      </c>
      <c r="D332" t="inlineStr">
        <is>
          <t>JOHNSON</t>
        </is>
      </c>
      <c r="E332" t="inlineStr">
        <is>
          <t>JOHNSON &amp; JOHNSON INDONESIA</t>
        </is>
      </c>
      <c r="F332" t="inlineStr">
        <is>
          <t>S</t>
        </is>
      </c>
      <c r="G332" t="inlineStr">
        <is>
          <t>7.26.01838</t>
        </is>
      </c>
      <c r="H332" t="inlineStr">
        <is>
          <t>Leads</t>
        </is>
      </c>
      <c r="I332" t="n">
        <v>0</v>
      </c>
      <c r="J332" t="n">
        <v>141</v>
      </c>
      <c r="K332" t="inlineStr">
        <is>
          <t>Reach Truck 1.5 Ton (1 Unit) _ 1 Tahun _ Canvassing awal &amp; Sales Call</t>
        </is>
      </c>
      <c r="L332">
        <f>IF(AND(H332="Leads", J332&lt;=0), "OVERDUE (IDLE)", IF(AND(H332="Leads", J332&lt;=14), "WARNING (3-14 Days)", IF(AND(H332="Prospect", J332&lt;=0), "PROSPECT EXPIRED", "SAFE / ON TRACK")))</f>
        <v/>
      </c>
    </row>
    <row r="333">
      <c r="A333" t="inlineStr">
        <is>
          <t>Fuji</t>
        </is>
      </c>
      <c r="B333" t="inlineStr"/>
      <c r="C333" t="inlineStr">
        <is>
          <t>Andreas</t>
        </is>
      </c>
      <c r="D333" t="inlineStr">
        <is>
          <t>INOACPOLYT</t>
        </is>
      </c>
      <c r="E333" t="inlineStr">
        <is>
          <t>INOAC POLYTECHNO INDONESIA</t>
        </is>
      </c>
      <c r="F333" t="inlineStr">
        <is>
          <t>S</t>
        </is>
      </c>
      <c r="G333" t="inlineStr">
        <is>
          <t>7.26.01839</t>
        </is>
      </c>
      <c r="H333" t="inlineStr">
        <is>
          <t>Leads</t>
        </is>
      </c>
      <c r="I333" t="n">
        <v>0</v>
      </c>
      <c r="J333" t="n">
        <v>141</v>
      </c>
      <c r="K333" t="inlineStr">
        <is>
          <t>Reach Truck 1.5 Ton (1 Unit) _ 1 Tahun _ Canvassing awal &amp; Sales Call</t>
        </is>
      </c>
      <c r="L333">
        <f>IF(AND(H333="Leads", J333&lt;=0), "OVERDUE (IDLE)", IF(AND(H333="Leads", J333&lt;=14), "WARNING (3-14 Days)", IF(AND(H333="Prospect", J333&lt;=0), "PROSPECT EXPIRED", "SAFE / ON TRACK")))</f>
        <v/>
      </c>
    </row>
    <row r="334">
      <c r="A334" t="inlineStr">
        <is>
          <t>Fuji</t>
        </is>
      </c>
      <c r="B334" t="inlineStr"/>
      <c r="C334" t="inlineStr">
        <is>
          <t>Andreas</t>
        </is>
      </c>
      <c r="D334" t="inlineStr">
        <is>
          <t>HUTCHISON</t>
        </is>
      </c>
      <c r="E334" t="inlineStr">
        <is>
          <t>HUTCHISON PORTS INDONESIA</t>
        </is>
      </c>
      <c r="F334" t="inlineStr">
        <is>
          <t>S</t>
        </is>
      </c>
      <c r="G334" t="inlineStr">
        <is>
          <t>7.26.01840</t>
        </is>
      </c>
      <c r="H334" t="inlineStr">
        <is>
          <t>Leads</t>
        </is>
      </c>
      <c r="I334" t="n">
        <v>0</v>
      </c>
      <c r="J334" t="n">
        <v>142</v>
      </c>
      <c r="K334" t="inlineStr">
        <is>
          <t>Reach Truck 1.5 Ton (1 Unit) _ 1 Tahun _ Canvassing awal &amp; Sales Call</t>
        </is>
      </c>
      <c r="L334">
        <f>IF(AND(H334="Leads", J334&lt;=0), "OVERDUE (IDLE)", IF(AND(H334="Leads", J334&lt;=14), "WARNING (3-14 Days)", IF(AND(H334="Prospect", J334&lt;=0), "PROSPECT EXPIRED", "SAFE / ON TRACK")))</f>
        <v/>
      </c>
    </row>
    <row r="335">
      <c r="A335" t="inlineStr">
        <is>
          <t>Fuji</t>
        </is>
      </c>
      <c r="B335" t="inlineStr"/>
      <c r="C335" t="inlineStr">
        <is>
          <t>Andreas</t>
        </is>
      </c>
      <c r="D335" t="inlineStr">
        <is>
          <t>MEI</t>
        </is>
      </c>
      <c r="E335" t="inlineStr">
        <is>
          <t>MITSUBISHI ELECTRIC INDONESIA</t>
        </is>
      </c>
      <c r="F335" t="inlineStr">
        <is>
          <t>S</t>
        </is>
      </c>
      <c r="G335" t="inlineStr">
        <is>
          <t>7.26.01841</t>
        </is>
      </c>
      <c r="H335" t="inlineStr">
        <is>
          <t>Leads</t>
        </is>
      </c>
      <c r="I335" t="n">
        <v>0</v>
      </c>
      <c r="J335" t="n">
        <v>142</v>
      </c>
      <c r="K335" t="inlineStr">
        <is>
          <t>Reach Truck 1.5 Ton (1 Unit) _ 1 Tahun _ Canvassing awal &amp; Sales Call</t>
        </is>
      </c>
      <c r="L335">
        <f>IF(AND(H335="Leads", J335&lt;=0), "OVERDUE (IDLE)", IF(AND(H335="Leads", J335&lt;=14), "WARNING (3-14 Days)", IF(AND(H335="Prospect", J335&lt;=0), "PROSPECT EXPIRED", "SAFE / ON TRACK")))</f>
        <v/>
      </c>
    </row>
    <row r="336">
      <c r="A336" t="inlineStr">
        <is>
          <t>Fuji</t>
        </is>
      </c>
      <c r="B336" t="inlineStr"/>
      <c r="C336" t="inlineStr">
        <is>
          <t>Andreas</t>
        </is>
      </c>
      <c r="D336" t="inlineStr">
        <is>
          <t>PUSAKAPAN</t>
        </is>
      </c>
      <c r="E336" t="inlineStr">
        <is>
          <t>PT PUSAKA ARTHA TAMA</t>
        </is>
      </c>
      <c r="F336" t="inlineStr">
        <is>
          <t>M</t>
        </is>
      </c>
      <c r="G336" t="inlineStr">
        <is>
          <t>7.26.01846</t>
        </is>
      </c>
      <c r="H336" t="inlineStr">
        <is>
          <t>Prospect</t>
        </is>
      </c>
      <c r="I336" t="n">
        <v>59</v>
      </c>
      <c r="J336" t="n">
        <v>239</v>
      </c>
      <c r="K336" t="inlineStr">
        <is>
          <t>Forklift 3 Ton (2 Unit) _ 2 Tahun _ SPH Dikirim ke User</t>
        </is>
      </c>
      <c r="L336">
        <f>IF(AND(H336="Leads", J336&lt;=0), "OVERDUE (IDLE)", IF(AND(H336="Leads", J336&lt;=14), "WARNING (3-14 Days)", IF(AND(H336="Prospect", J336&lt;=0), "PROSPECT EXPIRED", "SAFE / ON TRACK")))</f>
        <v/>
      </c>
    </row>
    <row r="337">
      <c r="A337" t="inlineStr">
        <is>
          <t>Fuji</t>
        </is>
      </c>
      <c r="B337" t="inlineStr"/>
      <c r="C337" t="inlineStr">
        <is>
          <t>Andreas</t>
        </is>
      </c>
      <c r="D337" t="inlineStr">
        <is>
          <t>PANSEMAR</t>
        </is>
      </c>
      <c r="E337" t="inlineStr">
        <is>
          <t>PT PANDAWA ARTHA NUSANTARA</t>
        </is>
      </c>
      <c r="F337" t="inlineStr">
        <is>
          <t>M</t>
        </is>
      </c>
      <c r="G337" t="inlineStr">
        <is>
          <t>7.26.01851</t>
        </is>
      </c>
      <c r="H337" t="inlineStr">
        <is>
          <t>Prospect</t>
        </is>
      </c>
      <c r="I337" t="n">
        <v>79</v>
      </c>
      <c r="J337" t="n">
        <v>259</v>
      </c>
      <c r="K337" t="inlineStr">
        <is>
          <t>Forklift 3 Ton (2 Unit) _ 2 Tahun _ SPH Dikirim ke User</t>
        </is>
      </c>
      <c r="L337">
        <f>IF(AND(H337="Leads", J337&lt;=0), "OVERDUE (IDLE)", IF(AND(H337="Leads", J337&lt;=14), "WARNING (3-14 Days)", IF(AND(H337="Prospect", J337&lt;=0), "PROSPECT EXPIRED", "SAFE / ON TRACK")))</f>
        <v/>
      </c>
    </row>
    <row r="338">
      <c r="A338" t="inlineStr">
        <is>
          <t>Fuji</t>
        </is>
      </c>
      <c r="B338" t="inlineStr"/>
      <c r="C338" t="inlineStr">
        <is>
          <t>Andreas</t>
        </is>
      </c>
      <c r="D338" t="inlineStr">
        <is>
          <t>GIHARALOG</t>
        </is>
      </c>
      <c r="E338" t="inlineStr">
        <is>
          <t>PT GIHARA LOGISTIK INDONESIA</t>
        </is>
      </c>
      <c r="F338" t="inlineStr">
        <is>
          <t>S</t>
        </is>
      </c>
      <c r="G338" t="inlineStr">
        <is>
          <t>7.26.01854</t>
        </is>
      </c>
      <c r="H338" t="inlineStr">
        <is>
          <t>Leads</t>
        </is>
      </c>
      <c r="I338" t="n">
        <v>0</v>
      </c>
      <c r="J338" t="n">
        <v>163</v>
      </c>
      <c r="K338" t="inlineStr">
        <is>
          <t>Reach Truck 1.5 Ton (1 Unit) _ 1 Tahun _ Canvassing awal &amp; Sales Call</t>
        </is>
      </c>
      <c r="L338">
        <f>IF(AND(H338="Leads", J338&lt;=0), "OVERDUE (IDLE)", IF(AND(H338="Leads", J338&lt;=14), "WARNING (3-14 Days)", IF(AND(H338="Prospect", J338&lt;=0), "PROSPECT EXPIRED", "SAFE / ON TRACK")))</f>
        <v/>
      </c>
    </row>
    <row r="339">
      <c r="A339" t="inlineStr">
        <is>
          <t>Fuji</t>
        </is>
      </c>
      <c r="B339" t="inlineStr"/>
      <c r="C339" t="inlineStr">
        <is>
          <t>Andreas</t>
        </is>
      </c>
      <c r="D339" t="inlineStr">
        <is>
          <t>WIDJIDARMA</t>
        </is>
      </c>
      <c r="E339" t="inlineStr">
        <is>
          <t>PT WIDJI DARMA MURTI</t>
        </is>
      </c>
      <c r="F339" t="inlineStr">
        <is>
          <t>M</t>
        </is>
      </c>
      <c r="G339" t="inlineStr">
        <is>
          <t>7.26.01855</t>
        </is>
      </c>
      <c r="H339" t="inlineStr">
        <is>
          <t>Leads</t>
        </is>
      </c>
      <c r="I339" t="n">
        <v>0</v>
      </c>
      <c r="J339" t="n">
        <v>163</v>
      </c>
      <c r="K339" t="inlineStr">
        <is>
          <t>Reach Truck 1.5 Ton (1 Unit) _ 1 Tahun _ Canvassing awal &amp; Sales Call</t>
        </is>
      </c>
      <c r="L339">
        <f>IF(AND(H339="Leads", J339&lt;=0), "OVERDUE (IDLE)", IF(AND(H339="Leads", J339&lt;=14), "WARNING (3-14 Days)", IF(AND(H339="Prospect", J339&lt;=0), "PROSPECT EXPIRED", "SAFE / ON TRACK")))</f>
        <v/>
      </c>
    </row>
    <row r="340">
      <c r="A340" t="inlineStr">
        <is>
          <t>Fuji</t>
        </is>
      </c>
      <c r="B340" t="inlineStr"/>
      <c r="C340" t="inlineStr">
        <is>
          <t>Andreas</t>
        </is>
      </c>
      <c r="D340" t="inlineStr">
        <is>
          <t>DSP</t>
        </is>
      </c>
      <c r="E340" t="inlineStr">
        <is>
          <t>PT DUTA SARANA PERKASA</t>
        </is>
      </c>
      <c r="F340" t="inlineStr">
        <is>
          <t>M</t>
        </is>
      </c>
      <c r="G340" t="inlineStr">
        <is>
          <t>7.26.01856</t>
        </is>
      </c>
      <c r="H340" t="inlineStr">
        <is>
          <t>Prospect</t>
        </is>
      </c>
      <c r="I340" t="n">
        <v>85</v>
      </c>
      <c r="J340" t="n">
        <v>265</v>
      </c>
      <c r="K340" t="inlineStr">
        <is>
          <t>Forklift 3 Ton (2 Unit) _ 2 Tahun _ SPH Dikirim ke User</t>
        </is>
      </c>
      <c r="L340">
        <f>IF(AND(H340="Leads", J340&lt;=0), "OVERDUE (IDLE)", IF(AND(H340="Leads", J340&lt;=14), "WARNING (3-14 Days)", IF(AND(H340="Prospect", J340&lt;=0), "PROSPECT EXPIRED", "SAFE / ON TRACK")))</f>
        <v/>
      </c>
    </row>
    <row r="341">
      <c r="A341" t="inlineStr">
        <is>
          <t>Fuji</t>
        </is>
      </c>
      <c r="B341" t="inlineStr"/>
      <c r="C341" t="inlineStr">
        <is>
          <t>Andreas</t>
        </is>
      </c>
      <c r="D341" t="inlineStr">
        <is>
          <t>MITSUBISHI</t>
        </is>
      </c>
      <c r="E341" t="inlineStr">
        <is>
          <t>PT MITSUBISHI POWER INDONESIA</t>
        </is>
      </c>
      <c r="F341" t="inlineStr">
        <is>
          <t>L</t>
        </is>
      </c>
      <c r="G341" t="inlineStr">
        <is>
          <t>7.26.01857</t>
        </is>
      </c>
      <c r="H341" t="inlineStr">
        <is>
          <t>Prospect</t>
        </is>
      </c>
      <c r="I341" t="n">
        <v>74</v>
      </c>
      <c r="J341" t="n">
        <v>254</v>
      </c>
      <c r="K341" t="inlineStr">
        <is>
          <t>Forklift 3 Ton (2 Unit) _ 2 Tahun _ SPH Dikirim ke User</t>
        </is>
      </c>
      <c r="L341">
        <f>IF(AND(H341="Leads", J341&lt;=0), "OVERDUE (IDLE)", IF(AND(H341="Leads", J341&lt;=14), "WARNING (3-14 Days)", IF(AND(H341="Prospect", J341&lt;=0), "PROSPECT EXPIRED", "SAFE / ON TRACK")))</f>
        <v/>
      </c>
    </row>
    <row r="342">
      <c r="A342" t="inlineStr">
        <is>
          <t>Fuji</t>
        </is>
      </c>
      <c r="B342" t="inlineStr"/>
      <c r="C342" t="inlineStr">
        <is>
          <t>Andreas</t>
        </is>
      </c>
      <c r="D342" t="inlineStr">
        <is>
          <t>GREATGIANT</t>
        </is>
      </c>
      <c r="E342" t="inlineStr">
        <is>
          <t>GREAT GIANT PINEAPPLE</t>
        </is>
      </c>
      <c r="F342" t="inlineStr"/>
      <c r="G342" t="inlineStr">
        <is>
          <t>7.26.01858</t>
        </is>
      </c>
      <c r="H342" t="inlineStr">
        <is>
          <t>Leads</t>
        </is>
      </c>
      <c r="I342" t="n">
        <v>0</v>
      </c>
      <c r="J342" t="n">
        <v>165</v>
      </c>
      <c r="K342" t="inlineStr">
        <is>
          <t>Reach Truck 1.5 Ton (1 Unit) _ 1 Tahun _ Canvassing awal &amp; Sales Call</t>
        </is>
      </c>
      <c r="L342">
        <f>IF(AND(H342="Leads", J342&lt;=0), "OVERDUE (IDLE)", IF(AND(H342="Leads", J342&lt;=14), "WARNING (3-14 Days)", IF(AND(H342="Prospect", J342&lt;=0), "PROSPECT EXPIRED", "SAFE / ON TRACK")))</f>
        <v/>
      </c>
    </row>
    <row r="343">
      <c r="A343" t="inlineStr">
        <is>
          <t>Fuji</t>
        </is>
      </c>
      <c r="B343" t="inlineStr"/>
      <c r="C343" t="inlineStr">
        <is>
          <t>Andreas</t>
        </is>
      </c>
      <c r="D343" t="inlineStr">
        <is>
          <t>DOOSANHEA</t>
        </is>
      </c>
      <c r="E343" t="inlineStr">
        <is>
          <t>PT DOOSAN HEAVY INDUSTRIES INDONESIA</t>
        </is>
      </c>
      <c r="F343" t="inlineStr">
        <is>
          <t>L</t>
        </is>
      </c>
      <c r="G343" t="inlineStr">
        <is>
          <t>7.26.01859</t>
        </is>
      </c>
      <c r="H343" t="inlineStr">
        <is>
          <t>Leads</t>
        </is>
      </c>
      <c r="I343" t="n">
        <v>0</v>
      </c>
      <c r="J343" t="n">
        <v>168</v>
      </c>
      <c r="K343" t="inlineStr">
        <is>
          <t>Reach Truck 1.5 Ton (1 Unit) _ 1 Tahun _ Canvassing awal &amp; Sales Call</t>
        </is>
      </c>
      <c r="L343">
        <f>IF(AND(H343="Leads", J343&lt;=0), "OVERDUE (IDLE)", IF(AND(H343="Leads", J343&lt;=14), "WARNING (3-14 Days)", IF(AND(H343="Prospect", J343&lt;=0), "PROSPECT EXPIRED", "SAFE / ON TRACK")))</f>
        <v/>
      </c>
    </row>
    <row r="344">
      <c r="A344" t="inlineStr">
        <is>
          <t>Fuji</t>
        </is>
      </c>
      <c r="B344" t="inlineStr"/>
      <c r="C344" t="inlineStr">
        <is>
          <t>Andreas</t>
        </is>
      </c>
      <c r="D344" t="inlineStr">
        <is>
          <t>ANDALANNEL</t>
        </is>
      </c>
      <c r="E344" t="inlineStr">
        <is>
          <t>PT ANDALAN NELAYAN INDONESIA</t>
        </is>
      </c>
      <c r="F344" t="inlineStr">
        <is>
          <t>L</t>
        </is>
      </c>
      <c r="G344" t="inlineStr">
        <is>
          <t>7.26.01861</t>
        </is>
      </c>
      <c r="H344" t="inlineStr">
        <is>
          <t>Prospect</t>
        </is>
      </c>
      <c r="I344" t="n">
        <v>79</v>
      </c>
      <c r="J344" t="n">
        <v>259</v>
      </c>
      <c r="K344" t="inlineStr">
        <is>
          <t>Forklift 3 Ton (2 Unit) _ 2 Tahun _ SPH Dikirim ke User</t>
        </is>
      </c>
      <c r="L344">
        <f>IF(AND(H344="Leads", J344&lt;=0), "OVERDUE (IDLE)", IF(AND(H344="Leads", J344&lt;=14), "WARNING (3-14 Days)", IF(AND(H344="Prospect", J344&lt;=0), "PROSPECT EXPIRED", "SAFE / ON TRACK")))</f>
        <v/>
      </c>
    </row>
    <row r="345">
      <c r="A345" t="inlineStr">
        <is>
          <t>Fuji</t>
        </is>
      </c>
      <c r="B345" t="inlineStr"/>
      <c r="C345" t="inlineStr">
        <is>
          <t>Andreas</t>
        </is>
      </c>
      <c r="D345" t="inlineStr">
        <is>
          <t>KASSEMARAN</t>
        </is>
      </c>
      <c r="E345" t="inlineStr">
        <is>
          <t>PT KREASI ANGGUR SEJAHTERA</t>
        </is>
      </c>
      <c r="F345" t="inlineStr">
        <is>
          <t>M</t>
        </is>
      </c>
      <c r="G345" t="inlineStr">
        <is>
          <t>7.26.01865</t>
        </is>
      </c>
      <c r="H345" t="inlineStr">
        <is>
          <t>Prospect</t>
        </is>
      </c>
      <c r="I345" t="n">
        <v>81</v>
      </c>
      <c r="J345" t="n">
        <v>261</v>
      </c>
      <c r="K345" t="inlineStr">
        <is>
          <t>Forklift 3 Ton (2 Unit) _ 2 Tahun _ SPH Dikirim ke User</t>
        </is>
      </c>
      <c r="L345">
        <f>IF(AND(H345="Leads", J345&lt;=0), "OVERDUE (IDLE)", IF(AND(H345="Leads", J345&lt;=14), "WARNING (3-14 Days)", IF(AND(H345="Prospect", J345&lt;=0), "PROSPECT EXPIRED", "SAFE / ON TRACK")))</f>
        <v/>
      </c>
    </row>
    <row r="346">
      <c r="A346" t="inlineStr">
        <is>
          <t>Fuji</t>
        </is>
      </c>
      <c r="B346" t="inlineStr"/>
      <c r="C346" t="inlineStr">
        <is>
          <t>Andreas</t>
        </is>
      </c>
      <c r="D346" t="inlineStr">
        <is>
          <t>CLARIANTKU</t>
        </is>
      </c>
      <c r="E346" t="inlineStr">
        <is>
          <t>CLARIANT KUJANG CATALYSTS</t>
        </is>
      </c>
      <c r="F346" t="inlineStr">
        <is>
          <t>S</t>
        </is>
      </c>
      <c r="G346" t="inlineStr">
        <is>
          <t>7.26.01866</t>
        </is>
      </c>
      <c r="H346" t="inlineStr">
        <is>
          <t>Leads</t>
        </is>
      </c>
      <c r="I346" t="n">
        <v>0</v>
      </c>
      <c r="J346" t="n">
        <v>175</v>
      </c>
      <c r="K346" t="inlineStr">
        <is>
          <t>Reach Truck 1.5 Ton (1 Unit) _ 1 Tahun _ Canvassing awal &amp; Sales Call</t>
        </is>
      </c>
      <c r="L346">
        <f>IF(AND(H346="Leads", J346&lt;=0), "OVERDUE (IDLE)", IF(AND(H346="Leads", J346&lt;=14), "WARNING (3-14 Days)", IF(AND(H346="Prospect", J346&lt;=0), "PROSPECT EXPIRED", "SAFE / ON TRACK")))</f>
        <v/>
      </c>
    </row>
    <row r="347">
      <c r="A347" t="inlineStr">
        <is>
          <t>Fuji</t>
        </is>
      </c>
      <c r="B347" t="inlineStr"/>
      <c r="C347" t="inlineStr">
        <is>
          <t>Andreas</t>
        </is>
      </c>
      <c r="D347" t="inlineStr">
        <is>
          <t>ASMOINDO</t>
        </is>
      </c>
      <c r="E347" t="inlineStr">
        <is>
          <t>ASMO INDONESIA</t>
        </is>
      </c>
      <c r="F347" t="inlineStr">
        <is>
          <t>S</t>
        </is>
      </c>
      <c r="G347" t="inlineStr">
        <is>
          <t>7.26.01867</t>
        </is>
      </c>
      <c r="H347" t="inlineStr">
        <is>
          <t>Leads</t>
        </is>
      </c>
      <c r="I347" t="n">
        <v>0</v>
      </c>
      <c r="J347" t="n">
        <v>171</v>
      </c>
      <c r="K347" t="inlineStr">
        <is>
          <t>Reach Truck 1.5 Ton (1 Unit) _ 1 Tahun _ Canvassing awal &amp; Sales Call</t>
        </is>
      </c>
      <c r="L347">
        <f>IF(AND(H347="Leads", J347&lt;=0), "OVERDUE (IDLE)", IF(AND(H347="Leads", J347&lt;=14), "WARNING (3-14 Days)", IF(AND(H347="Prospect", J347&lt;=0), "PROSPECT EXPIRED", "SAFE / ON TRACK")))</f>
        <v/>
      </c>
    </row>
    <row r="348">
      <c r="A348" t="inlineStr">
        <is>
          <t>Fuji</t>
        </is>
      </c>
      <c r="B348" t="inlineStr"/>
      <c r="C348" t="inlineStr">
        <is>
          <t>Andreas</t>
        </is>
      </c>
      <c r="D348" t="inlineStr">
        <is>
          <t>TOYOTABOS</t>
        </is>
      </c>
      <c r="E348" t="inlineStr">
        <is>
          <t>PT TOYOTA BOSHOKU DEVICE INDONESIA</t>
        </is>
      </c>
      <c r="F348" t="inlineStr">
        <is>
          <t>M</t>
        </is>
      </c>
      <c r="G348" t="inlineStr">
        <is>
          <t>7.26.01868</t>
        </is>
      </c>
      <c r="H348" t="inlineStr">
        <is>
          <t>Prospect</t>
        </is>
      </c>
      <c r="I348" t="n">
        <v>82</v>
      </c>
      <c r="J348" t="n">
        <v>262</v>
      </c>
      <c r="K348" t="inlineStr">
        <is>
          <t>Forklift 3 Ton (2 Unit) _ 2 Tahun _ SPH Dikirim ke User</t>
        </is>
      </c>
      <c r="L348">
        <f>IF(AND(H348="Leads", J348&lt;=0), "OVERDUE (IDLE)", IF(AND(H348="Leads", J348&lt;=14), "WARNING (3-14 Days)", IF(AND(H348="Prospect", J348&lt;=0), "PROSPECT EXPIRED", "SAFE / ON TRACK")))</f>
        <v/>
      </c>
    </row>
    <row r="349">
      <c r="A349" t="inlineStr">
        <is>
          <t>Fuji</t>
        </is>
      </c>
      <c r="B349" t="inlineStr"/>
      <c r="C349" t="inlineStr">
        <is>
          <t>Andreas</t>
        </is>
      </c>
      <c r="D349" t="inlineStr">
        <is>
          <t>POSCINTSIA</t>
        </is>
      </c>
      <c r="E349" t="inlineStr">
        <is>
          <t>PT POSCO INTERNATIONAL INDONESIA</t>
        </is>
      </c>
      <c r="F349" t="inlineStr">
        <is>
          <t>S</t>
        </is>
      </c>
      <c r="G349" t="inlineStr">
        <is>
          <t>7.26.01870</t>
        </is>
      </c>
      <c r="H349" t="inlineStr">
        <is>
          <t>Leads</t>
        </is>
      </c>
      <c r="I349" t="n">
        <v>0</v>
      </c>
      <c r="J349" t="n">
        <v>175</v>
      </c>
      <c r="K349" t="inlineStr">
        <is>
          <t>Reach Truck 1.5 Ton (1 Unit) _ 1 Tahun _ Canvassing awal &amp; Sales Call</t>
        </is>
      </c>
      <c r="L349">
        <f>IF(AND(H349="Leads", J349&lt;=0), "OVERDUE (IDLE)", IF(AND(H349="Leads", J349&lt;=14), "WARNING (3-14 Days)", IF(AND(H349="Prospect", J349&lt;=0), "PROSPECT EXPIRED", "SAFE / ON TRACK")))</f>
        <v/>
      </c>
    </row>
    <row r="350">
      <c r="A350" t="inlineStr">
        <is>
          <t>Fuji</t>
        </is>
      </c>
      <c r="B350" t="inlineStr"/>
      <c r="C350" t="inlineStr">
        <is>
          <t>Andreas</t>
        </is>
      </c>
      <c r="D350" t="inlineStr">
        <is>
          <t>PAMAPSD</t>
        </is>
      </c>
      <c r="E350" t="inlineStr">
        <is>
          <t>PAMAPERSADA NUSANTARA</t>
        </is>
      </c>
      <c r="F350" t="inlineStr">
        <is>
          <t>M</t>
        </is>
      </c>
      <c r="G350" t="inlineStr">
        <is>
          <t>7.26.01873</t>
        </is>
      </c>
      <c r="H350" t="inlineStr">
        <is>
          <t>Leads</t>
        </is>
      </c>
      <c r="I350" t="n">
        <v>0</v>
      </c>
      <c r="J350" t="n">
        <v>176</v>
      </c>
      <c r="K350" t="inlineStr">
        <is>
          <t>Reach Truck 1.5 Ton (1 Unit) _ 1 Tahun _ Canvassing awal &amp; Sales Call</t>
        </is>
      </c>
      <c r="L350">
        <f>IF(AND(H350="Leads", J350&lt;=0), "OVERDUE (IDLE)", IF(AND(H350="Leads", J350&lt;=14), "WARNING (3-14 Days)", IF(AND(H350="Prospect", J350&lt;=0), "PROSPECT EXPIRED", "SAFE / ON TRACK")))</f>
        <v/>
      </c>
    </row>
    <row r="351">
      <c r="A351" t="inlineStr">
        <is>
          <t>Fuji</t>
        </is>
      </c>
      <c r="B351" t="inlineStr"/>
      <c r="C351" t="inlineStr">
        <is>
          <t>Andreas</t>
        </is>
      </c>
      <c r="D351" t="inlineStr">
        <is>
          <t>AJINOMOTO</t>
        </is>
      </c>
      <c r="E351" t="inlineStr">
        <is>
          <t>AJINOMOTO INDONESIA</t>
        </is>
      </c>
      <c r="F351" t="inlineStr"/>
      <c r="G351" t="inlineStr">
        <is>
          <t>7.26.01875</t>
        </is>
      </c>
      <c r="H351" t="inlineStr">
        <is>
          <t>Leads</t>
        </is>
      </c>
      <c r="I351" t="n">
        <v>0</v>
      </c>
      <c r="J351" t="n">
        <v>177</v>
      </c>
      <c r="K351" t="inlineStr">
        <is>
          <t>Reach Truck 1.5 Ton (1 Unit) _ 1 Tahun _ Canvassing awal &amp; Sales Call</t>
        </is>
      </c>
      <c r="L351">
        <f>IF(AND(H351="Leads", J351&lt;=0), "OVERDUE (IDLE)", IF(AND(H351="Leads", J351&lt;=14), "WARNING (3-14 Days)", IF(AND(H351="Prospect", J351&lt;=0), "PROSPECT EXPIRED", "SAFE / ON TRACK")))</f>
        <v/>
      </c>
    </row>
  </sheetData>
  <dataValidations count="1">
    <dataValidation sqref="H2:H1000" showDropDown="0" showInputMessage="0" showErrorMessage="0" allowBlank="1" type="list">
      <formula1>Lists_Dropdown!$A$2:$A$6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45"/>
  <sheetViews>
    <sheetView showGridLines="1" workbookViewId="0">
      <selection activeCell="A1" sqref="A1"/>
    </sheetView>
  </sheetViews>
  <sheetFormatPr baseColWidth="8" defaultRowHeight="15"/>
  <sheetData>
    <row r="1">
      <c r="A1" s="10" t="inlineStr">
        <is>
          <t>Sales Manager</t>
        </is>
      </c>
      <c r="B1" s="10" t="inlineStr">
        <is>
          <t>Sales Supervisor</t>
        </is>
      </c>
      <c r="C1" s="10" t="inlineStr">
        <is>
          <t>Sales Officer</t>
        </is>
      </c>
      <c r="D1" s="10" t="inlineStr">
        <is>
          <t>Company ID</t>
        </is>
      </c>
      <c r="E1" s="10" t="inlineStr">
        <is>
          <t>Company Name</t>
        </is>
      </c>
      <c r="F1" s="10" t="inlineStr">
        <is>
          <t>Company Size</t>
        </is>
      </c>
      <c r="G1" s="10" t="inlineStr">
        <is>
          <t>Project ID</t>
        </is>
      </c>
      <c r="H1" s="10" t="inlineStr">
        <is>
          <t>Last Progress</t>
        </is>
      </c>
      <c r="I1" s="10" t="inlineStr">
        <is>
          <t>Prospect to Leads (Left Days)</t>
        </is>
      </c>
      <c r="J1" s="10" t="inlineStr">
        <is>
          <t>Leads to Idle (Left Days)</t>
        </is>
      </c>
      <c r="K1" s="10" t="inlineStr">
        <is>
          <t>Detail Progress &amp; Note</t>
        </is>
      </c>
    </row>
    <row r="2">
      <c r="A2" t="inlineStr">
        <is>
          <t>Fuji</t>
        </is>
      </c>
      <c r="B2" t="inlineStr"/>
      <c r="C2" t="inlineStr">
        <is>
          <t>Ravico</t>
        </is>
      </c>
      <c r="D2" t="inlineStr">
        <is>
          <t>FONTBRAND</t>
        </is>
      </c>
      <c r="E2" t="inlineStr">
        <is>
          <t>PT FONTERRA BRANDS INDONESIA</t>
        </is>
      </c>
      <c r="F2" t="inlineStr">
        <is>
          <t>S</t>
        </is>
      </c>
      <c r="G2" t="inlineStr">
        <is>
          <t>7.25.00240</t>
        </is>
      </c>
      <c r="H2" t="inlineStr">
        <is>
          <t>Leads</t>
        </is>
      </c>
      <c r="I2" t="n">
        <v>0</v>
      </c>
      <c r="J2" t="n">
        <v>71</v>
      </c>
      <c r="K2" t="inlineStr">
        <is>
          <t>Reach Truck 1.5 Ton (1 Unit) _ 1 Tahun _ Canvassing awal &amp; Sales Call</t>
        </is>
      </c>
    </row>
    <row r="3">
      <c r="A3" t="inlineStr">
        <is>
          <t>Fuji</t>
        </is>
      </c>
      <c r="B3" t="inlineStr"/>
      <c r="C3" t="inlineStr">
        <is>
          <t>Ravico</t>
        </is>
      </c>
      <c r="D3" t="inlineStr">
        <is>
          <t>EMPIND</t>
        </is>
      </c>
      <c r="E3" t="inlineStr">
        <is>
          <t>EIGERINDO MULTI PRODUK INDONESIA</t>
        </is>
      </c>
      <c r="F3" t="inlineStr">
        <is>
          <t>L</t>
        </is>
      </c>
      <c r="G3" t="inlineStr">
        <is>
          <t>7.25.00362</t>
        </is>
      </c>
      <c r="H3" t="inlineStr">
        <is>
          <t>Leads</t>
        </is>
      </c>
      <c r="I3" t="n">
        <v>0</v>
      </c>
      <c r="J3" t="n">
        <v>-32</v>
      </c>
      <c r="K3" t="inlineStr">
        <is>
          <t>Reach Truck 1.5 Ton (1 Unit) _ 1 Tahun _ Canvassing awal &amp; Sales Call</t>
        </is>
      </c>
    </row>
    <row r="4">
      <c r="A4" t="inlineStr">
        <is>
          <t>Fuji</t>
        </is>
      </c>
      <c r="B4" t="inlineStr"/>
      <c r="C4" t="inlineStr">
        <is>
          <t>Ravico</t>
        </is>
      </c>
      <c r="D4" t="inlineStr">
        <is>
          <t>BCCBI</t>
        </is>
      </c>
      <c r="E4" t="inlineStr">
        <is>
          <t>PT BANK CHINA CONSTRUCTION BANK INDONESIA TBK</t>
        </is>
      </c>
      <c r="F4" t="inlineStr">
        <is>
          <t>L</t>
        </is>
      </c>
      <c r="G4" t="inlineStr">
        <is>
          <t>7.26.00001</t>
        </is>
      </c>
      <c r="H4" t="inlineStr">
        <is>
          <t>Leads</t>
        </is>
      </c>
      <c r="I4" t="n">
        <v>0</v>
      </c>
      <c r="J4" t="n">
        <v>21</v>
      </c>
      <c r="K4" t="inlineStr">
        <is>
          <t>Reach Truck 1.5 Ton (1 Unit) _ 1 Tahun _ Canvassing awal &amp; Sales Call</t>
        </is>
      </c>
    </row>
    <row r="5">
      <c r="A5" t="inlineStr">
        <is>
          <t>Fuji</t>
        </is>
      </c>
      <c r="B5" t="inlineStr"/>
      <c r="C5" t="inlineStr">
        <is>
          <t>Ravico</t>
        </is>
      </c>
      <c r="D5" t="inlineStr">
        <is>
          <t>DAYAMAS</t>
        </is>
      </c>
      <c r="E5" t="inlineStr">
        <is>
          <t>PT DAYA MAS BUMI SENTOSA</t>
        </is>
      </c>
      <c r="F5" t="inlineStr">
        <is>
          <t>M</t>
        </is>
      </c>
      <c r="G5" t="inlineStr">
        <is>
          <t>7.26.00002</t>
        </is>
      </c>
      <c r="H5" t="inlineStr">
        <is>
          <t>Leads</t>
        </is>
      </c>
      <c r="I5" t="n">
        <v>0</v>
      </c>
      <c r="J5" t="n">
        <v>15</v>
      </c>
      <c r="K5" t="inlineStr">
        <is>
          <t>Reach Truck 1.5 Ton (1 Unit) _ 1 Tahun _ Canvassing awal &amp; Sales Call</t>
        </is>
      </c>
    </row>
    <row r="6">
      <c r="A6" t="inlineStr">
        <is>
          <t>Fuji</t>
        </is>
      </c>
      <c r="B6" t="inlineStr"/>
      <c r="C6" t="inlineStr">
        <is>
          <t>Ravico</t>
        </is>
      </c>
      <c r="D6" t="inlineStr">
        <is>
          <t>BCCBI</t>
        </is>
      </c>
      <c r="E6" t="inlineStr">
        <is>
          <t>PT BANK CHINA CONSTRUCTION BANK INDONESIA TBK</t>
        </is>
      </c>
      <c r="F6" t="inlineStr">
        <is>
          <t>L</t>
        </is>
      </c>
      <c r="G6" t="inlineStr">
        <is>
          <t>7.26.00053</t>
        </is>
      </c>
      <c r="H6" t="inlineStr">
        <is>
          <t>Leads</t>
        </is>
      </c>
      <c r="I6" t="n">
        <v>0</v>
      </c>
      <c r="J6" t="n">
        <v>21</v>
      </c>
      <c r="K6" t="inlineStr">
        <is>
          <t>Reach Truck 1.5 Ton (1 Unit) _ 1 Tahun _ Canvassing awal &amp; Sales Call</t>
        </is>
      </c>
    </row>
    <row r="7">
      <c r="A7" t="inlineStr">
        <is>
          <t>Fuji</t>
        </is>
      </c>
      <c r="B7" t="inlineStr"/>
      <c r="C7" t="inlineStr">
        <is>
          <t>Ravico</t>
        </is>
      </c>
      <c r="D7" t="inlineStr">
        <is>
          <t>PENCHEM</t>
        </is>
      </c>
      <c r="E7" t="inlineStr">
        <is>
          <t>PT PENTA CHEMICALS INDONESIA</t>
        </is>
      </c>
      <c r="F7" t="inlineStr">
        <is>
          <t>L</t>
        </is>
      </c>
      <c r="G7" t="inlineStr">
        <is>
          <t>7.26.00054</t>
        </is>
      </c>
      <c r="H7" t="inlineStr">
        <is>
          <t>Leads</t>
        </is>
      </c>
      <c r="I7" t="n">
        <v>0</v>
      </c>
      <c r="J7" t="n">
        <v>17</v>
      </c>
      <c r="K7" t="inlineStr">
        <is>
          <t>Reach Truck 1.5 Ton (1 Unit) _ 1 Tahun _ Canvassing awal &amp; Sales Call</t>
        </is>
      </c>
    </row>
    <row r="8">
      <c r="A8" t="inlineStr">
        <is>
          <t>Fuji</t>
        </is>
      </c>
      <c r="B8" t="inlineStr"/>
      <c r="C8" t="inlineStr">
        <is>
          <t>Ravico</t>
        </is>
      </c>
      <c r="D8" t="inlineStr">
        <is>
          <t>PENCHEM</t>
        </is>
      </c>
      <c r="E8" t="inlineStr">
        <is>
          <t>PT PENTA CHEMICALS INDONESIA</t>
        </is>
      </c>
      <c r="F8" t="inlineStr">
        <is>
          <t>L</t>
        </is>
      </c>
      <c r="G8" t="inlineStr">
        <is>
          <t>7.26.00056</t>
        </is>
      </c>
      <c r="H8" t="inlineStr">
        <is>
          <t>Leads</t>
        </is>
      </c>
      <c r="I8" t="n">
        <v>0</v>
      </c>
      <c r="J8" t="n">
        <v>24</v>
      </c>
      <c r="K8" t="inlineStr">
        <is>
          <t>Reach Truck 1.5 Ton (1 Unit) _ 1 Tahun _ Canvassing awal &amp; Sales Call</t>
        </is>
      </c>
    </row>
    <row r="9">
      <c r="A9" t="inlineStr">
        <is>
          <t>Fuji</t>
        </is>
      </c>
      <c r="B9" t="inlineStr"/>
      <c r="C9" t="inlineStr">
        <is>
          <t>Ravico</t>
        </is>
      </c>
      <c r="D9" t="inlineStr">
        <is>
          <t>TRITNGGAL</t>
        </is>
      </c>
      <c r="E9" t="inlineStr">
        <is>
          <t>PT TRITUNGGAL DELTA SEJAHTERA</t>
        </is>
      </c>
      <c r="F9" t="inlineStr">
        <is>
          <t>M</t>
        </is>
      </c>
      <c r="G9" t="inlineStr">
        <is>
          <t>7.26.00116</t>
        </is>
      </c>
      <c r="H9" t="inlineStr">
        <is>
          <t>Leads</t>
        </is>
      </c>
      <c r="I9" t="n">
        <v>0</v>
      </c>
      <c r="J9" t="n">
        <v>28</v>
      </c>
      <c r="K9" t="inlineStr">
        <is>
          <t>Reach Truck 1.5 Ton (1 Unit) _ 1 Tahun _ Canvassing awal &amp; Sales Call</t>
        </is>
      </c>
    </row>
    <row r="10">
      <c r="A10" t="inlineStr">
        <is>
          <t>Fuji</t>
        </is>
      </c>
      <c r="B10" t="inlineStr"/>
      <c r="C10" t="inlineStr">
        <is>
          <t>Ravico</t>
        </is>
      </c>
      <c r="D10" t="inlineStr">
        <is>
          <t>PENCHEM</t>
        </is>
      </c>
      <c r="E10" t="inlineStr">
        <is>
          <t>PT PENTA CHEMICALS INDONESIA</t>
        </is>
      </c>
      <c r="F10" t="inlineStr">
        <is>
          <t>L</t>
        </is>
      </c>
      <c r="G10" t="inlineStr">
        <is>
          <t>7.26.00222</t>
        </is>
      </c>
      <c r="H10" t="inlineStr">
        <is>
          <t>Leads</t>
        </is>
      </c>
      <c r="I10" t="n">
        <v>0</v>
      </c>
      <c r="J10" t="n">
        <v>51</v>
      </c>
      <c r="K10" t="inlineStr">
        <is>
          <t>Reach Truck 1.5 Ton (1 Unit) _ 1 Tahun _ Canvassing awal &amp; Sales Call</t>
        </is>
      </c>
    </row>
    <row r="11">
      <c r="A11" t="inlineStr">
        <is>
          <t>Fuji</t>
        </is>
      </c>
      <c r="B11" t="inlineStr"/>
      <c r="C11" t="inlineStr">
        <is>
          <t>Ravico</t>
        </is>
      </c>
      <c r="D11" t="inlineStr">
        <is>
          <t>FONTBRAND</t>
        </is>
      </c>
      <c r="E11" t="inlineStr">
        <is>
          <t>PT FONTERRA BRANDS INDONESIA</t>
        </is>
      </c>
      <c r="F11" t="inlineStr">
        <is>
          <t>S</t>
        </is>
      </c>
      <c r="G11" t="inlineStr">
        <is>
          <t>7.26.00285</t>
        </is>
      </c>
      <c r="H11" t="inlineStr">
        <is>
          <t>Leads</t>
        </is>
      </c>
      <c r="I11" t="n">
        <v>0</v>
      </c>
      <c r="J11" t="n">
        <v>71</v>
      </c>
      <c r="K11" t="inlineStr">
        <is>
          <t>Reach Truck 1.5 Ton (1 Unit) _ 1 Tahun _ Canvassing awal &amp; Sales Call</t>
        </is>
      </c>
    </row>
    <row r="12">
      <c r="A12" t="inlineStr">
        <is>
          <t>Fuji</t>
        </is>
      </c>
      <c r="B12" t="inlineStr"/>
      <c r="C12" t="inlineStr">
        <is>
          <t>Ravico</t>
        </is>
      </c>
      <c r="D12" t="inlineStr">
        <is>
          <t>DAYAMAS</t>
        </is>
      </c>
      <c r="E12" t="inlineStr">
        <is>
          <t>PT DAYA MAS BUMI SENTOSA</t>
        </is>
      </c>
      <c r="F12" t="inlineStr">
        <is>
          <t>M</t>
        </is>
      </c>
      <c r="G12" t="inlineStr">
        <is>
          <t>7.26.00298</t>
        </is>
      </c>
      <c r="H12" t="inlineStr">
        <is>
          <t>Prospect</t>
        </is>
      </c>
      <c r="I12" t="n">
        <v>3</v>
      </c>
      <c r="J12" t="n">
        <v>183</v>
      </c>
      <c r="K12" t="inlineStr">
        <is>
          <t>Forklift 3 Ton (2 Unit) _ 2 Tahun _ SPH Dikirim ke User</t>
        </is>
      </c>
    </row>
    <row r="13">
      <c r="A13" t="inlineStr">
        <is>
          <t>Fuji</t>
        </is>
      </c>
      <c r="B13" t="inlineStr"/>
      <c r="C13" t="inlineStr">
        <is>
          <t>Ravico</t>
        </is>
      </c>
      <c r="D13" t="inlineStr">
        <is>
          <t>NURMA</t>
        </is>
      </c>
      <c r="E13" t="inlineStr">
        <is>
          <t>PT NURMA HUSADA ABADI</t>
        </is>
      </c>
      <c r="F13" t="inlineStr">
        <is>
          <t>M</t>
        </is>
      </c>
      <c r="G13" t="inlineStr">
        <is>
          <t>7.26.00306</t>
        </is>
      </c>
      <c r="H13" t="inlineStr">
        <is>
          <t>Leads</t>
        </is>
      </c>
      <c r="I13" t="n">
        <v>0</v>
      </c>
      <c r="J13" t="n">
        <v>91</v>
      </c>
      <c r="K13" t="inlineStr">
        <is>
          <t>Reach Truck 1.5 Ton (1 Unit) _ 1 Tahun _ Canvassing awal &amp; Sales Call</t>
        </is>
      </c>
    </row>
    <row r="14">
      <c r="A14" t="inlineStr">
        <is>
          <t>Fuji</t>
        </is>
      </c>
      <c r="B14" t="inlineStr"/>
      <c r="C14" t="inlineStr">
        <is>
          <t>Ravico</t>
        </is>
      </c>
      <c r="D14" t="inlineStr">
        <is>
          <t>UPD</t>
        </is>
      </c>
      <c r="E14" t="inlineStr">
        <is>
          <t>PT UNITRADE PRIMA DINAMIKA</t>
        </is>
      </c>
      <c r="F14" t="inlineStr">
        <is>
          <t>M</t>
        </is>
      </c>
      <c r="G14" t="inlineStr">
        <is>
          <t>7.26.00317</t>
        </is>
      </c>
      <c r="H14" t="inlineStr">
        <is>
          <t>Leads</t>
        </is>
      </c>
      <c r="I14" t="n">
        <v>0</v>
      </c>
      <c r="J14" t="n">
        <v>94</v>
      </c>
      <c r="K14" t="inlineStr">
        <is>
          <t>Reach Truck 1.5 Ton (1 Unit) _ 1 Tahun _ Canvassing awal &amp; Sales Call</t>
        </is>
      </c>
    </row>
    <row r="15">
      <c r="A15" t="inlineStr">
        <is>
          <t>Fuji</t>
        </is>
      </c>
      <c r="B15" t="inlineStr"/>
      <c r="C15" t="inlineStr">
        <is>
          <t>Ravico</t>
        </is>
      </c>
      <c r="D15" t="inlineStr">
        <is>
          <t>ONIND</t>
        </is>
      </c>
      <c r="E15" t="inlineStr">
        <is>
          <t>PT ONINDONESIA SISTEM TEKNOLOGI</t>
        </is>
      </c>
      <c r="F15" t="inlineStr">
        <is>
          <t>M</t>
        </is>
      </c>
      <c r="G15" t="inlineStr">
        <is>
          <t>7.26.00319</t>
        </is>
      </c>
      <c r="H15" t="inlineStr">
        <is>
          <t>Leads</t>
        </is>
      </c>
      <c r="I15" t="n">
        <v>0</v>
      </c>
      <c r="J15" t="n">
        <v>100</v>
      </c>
      <c r="K15" t="inlineStr">
        <is>
          <t>Reach Truck 1.5 Ton (1 Unit) _ 1 Tahun _ Canvassing awal &amp; Sales Call</t>
        </is>
      </c>
    </row>
    <row r="16">
      <c r="A16" t="inlineStr">
        <is>
          <t>Fuji</t>
        </is>
      </c>
      <c r="B16" t="inlineStr"/>
      <c r="C16" t="inlineStr">
        <is>
          <t>Ravico</t>
        </is>
      </c>
      <c r="D16" t="inlineStr">
        <is>
          <t>ASUTOMARIN</t>
        </is>
      </c>
      <c r="E16" t="inlineStr">
        <is>
          <t>PT ASURANSI TOKIO MARINE INDONESIA</t>
        </is>
      </c>
      <c r="F16" t="inlineStr">
        <is>
          <t>L</t>
        </is>
      </c>
      <c r="G16" t="inlineStr">
        <is>
          <t>7.26.00324</t>
        </is>
      </c>
      <c r="H16" t="inlineStr">
        <is>
          <t>Leads</t>
        </is>
      </c>
      <c r="I16" t="n">
        <v>0</v>
      </c>
      <c r="J16" t="n">
        <v>112</v>
      </c>
      <c r="K16" t="inlineStr">
        <is>
          <t>Reach Truck 1.5 Ton (1 Unit) _ 1 Tahun _ Canvassing awal &amp; Sales Call</t>
        </is>
      </c>
    </row>
    <row r="17">
      <c r="A17" t="inlineStr">
        <is>
          <t>Fuji</t>
        </is>
      </c>
      <c r="B17" t="inlineStr"/>
      <c r="C17" t="inlineStr">
        <is>
          <t>Ravico</t>
        </is>
      </c>
      <c r="D17" t="inlineStr">
        <is>
          <t>NELY</t>
        </is>
      </c>
      <c r="E17" t="inlineStr">
        <is>
          <t>PT PELAYARAN NELLY DWI PUTRI TBK</t>
        </is>
      </c>
      <c r="F17" t="inlineStr">
        <is>
          <t>L</t>
        </is>
      </c>
      <c r="G17" t="inlineStr">
        <is>
          <t>7.26.00328</t>
        </is>
      </c>
      <c r="H17" t="inlineStr">
        <is>
          <t>Leads</t>
        </is>
      </c>
      <c r="I17" t="n">
        <v>0</v>
      </c>
      <c r="J17" t="n">
        <v>16</v>
      </c>
      <c r="K17" t="inlineStr">
        <is>
          <t>Reach Truck 1.5 Ton (1 Unit) _ 1 Tahun _ Canvassing awal &amp; Sales Call</t>
        </is>
      </c>
    </row>
    <row r="18">
      <c r="A18" t="inlineStr">
        <is>
          <t>Fuji</t>
        </is>
      </c>
      <c r="B18" t="inlineStr"/>
      <c r="C18" t="inlineStr">
        <is>
          <t>Ravico</t>
        </is>
      </c>
      <c r="D18" t="inlineStr">
        <is>
          <t>PNGGIDN</t>
        </is>
      </c>
      <c r="E18" t="inlineStr">
        <is>
          <t>PT PINANG EXPORT INDONESIA</t>
        </is>
      </c>
      <c r="F18" t="inlineStr">
        <is>
          <t>M</t>
        </is>
      </c>
      <c r="G18" t="inlineStr">
        <is>
          <t>7.26.00329</t>
        </is>
      </c>
      <c r="H18" t="inlineStr">
        <is>
          <t>Leads</t>
        </is>
      </c>
      <c r="I18" t="n">
        <v>0</v>
      </c>
      <c r="J18" t="n">
        <v>127</v>
      </c>
      <c r="K18" t="inlineStr">
        <is>
          <t>Reach Truck 1.5 Ton (1 Unit) _ 1 Tahun _ Canvassing awal &amp; Sales Call</t>
        </is>
      </c>
    </row>
    <row r="19">
      <c r="A19" t="inlineStr">
        <is>
          <t>Fuji</t>
        </is>
      </c>
      <c r="B19" t="inlineStr"/>
      <c r="C19" t="inlineStr">
        <is>
          <t>Ravico</t>
        </is>
      </c>
      <c r="D19" t="inlineStr">
        <is>
          <t>OTGDS</t>
        </is>
      </c>
      <c r="E19" t="inlineStr">
        <is>
          <t>PT AVABANINDO PERKASA</t>
        </is>
      </c>
      <c r="F19" t="inlineStr">
        <is>
          <t>M</t>
        </is>
      </c>
      <c r="G19" t="inlineStr">
        <is>
          <t>7.26.00331</t>
        </is>
      </c>
      <c r="H19" t="inlineStr">
        <is>
          <t>Leads</t>
        </is>
      </c>
      <c r="I19" t="n">
        <v>0</v>
      </c>
      <c r="J19" t="n">
        <v>106</v>
      </c>
      <c r="K19" t="inlineStr">
        <is>
          <t>Reach Truck 1.5 Ton (1 Unit) _ 1 Tahun _ Canvassing awal &amp; Sales Call</t>
        </is>
      </c>
    </row>
    <row r="20">
      <c r="A20" t="inlineStr">
        <is>
          <t>Fuji</t>
        </is>
      </c>
      <c r="B20" t="inlineStr"/>
      <c r="C20" t="inlineStr">
        <is>
          <t>Ravico</t>
        </is>
      </c>
      <c r="D20" t="inlineStr">
        <is>
          <t>CKDMI</t>
        </is>
      </c>
      <c r="E20" t="inlineStr">
        <is>
          <t>PT CKD MANUFACTURING INDONESIA</t>
        </is>
      </c>
      <c r="F20" t="inlineStr">
        <is>
          <t>M</t>
        </is>
      </c>
      <c r="G20" t="inlineStr">
        <is>
          <t>7.26.00336</t>
        </is>
      </c>
      <c r="H20" t="inlineStr">
        <is>
          <t>Leads</t>
        </is>
      </c>
      <c r="I20" t="n">
        <v>0</v>
      </c>
      <c r="J20" t="n">
        <v>17</v>
      </c>
      <c r="K20" t="inlineStr">
        <is>
          <t>Reach Truck 1.5 Ton (1 Unit) _ 1 Tahun _ Canvassing awal &amp; Sales Call</t>
        </is>
      </c>
    </row>
    <row r="21">
      <c r="A21" t="inlineStr">
        <is>
          <t>Fuji</t>
        </is>
      </c>
      <c r="B21" t="inlineStr"/>
      <c r="C21" t="inlineStr">
        <is>
          <t>Ravico</t>
        </is>
      </c>
      <c r="D21" t="inlineStr">
        <is>
          <t>SECO</t>
        </is>
      </c>
      <c r="E21" t="inlineStr">
        <is>
          <t>PT SECO TOOLS INDONESIA</t>
        </is>
      </c>
      <c r="F21" t="inlineStr">
        <is>
          <t>M</t>
        </is>
      </c>
      <c r="G21" t="inlineStr">
        <is>
          <t>7.26.00337</t>
        </is>
      </c>
      <c r="H21" t="inlineStr">
        <is>
          <t>Leads</t>
        </is>
      </c>
      <c r="I21" t="n">
        <v>0</v>
      </c>
      <c r="J21" t="n">
        <v>17</v>
      </c>
      <c r="K21" t="inlineStr">
        <is>
          <t>Reach Truck 1.5 Ton (1 Unit) _ 1 Tahun _ Canvassing awal &amp; Sales Call</t>
        </is>
      </c>
    </row>
    <row r="22">
      <c r="A22" t="inlineStr">
        <is>
          <t>Fuji</t>
        </is>
      </c>
      <c r="B22" t="inlineStr"/>
      <c r="C22" t="inlineStr">
        <is>
          <t>Ravico</t>
        </is>
      </c>
      <c r="D22" t="inlineStr">
        <is>
          <t>OTGDS</t>
        </is>
      </c>
      <c r="E22" t="inlineStr">
        <is>
          <t>PT AVABANINDO PERKASA</t>
        </is>
      </c>
      <c r="F22" t="inlineStr">
        <is>
          <t>M</t>
        </is>
      </c>
      <c r="G22" t="inlineStr">
        <is>
          <t>7.26.00338</t>
        </is>
      </c>
      <c r="H22" t="inlineStr">
        <is>
          <t>Leads</t>
        </is>
      </c>
      <c r="I22" t="n">
        <v>0</v>
      </c>
      <c r="J22" t="n">
        <v>108</v>
      </c>
      <c r="K22" t="inlineStr">
        <is>
          <t>Reach Truck 1.5 Ton (1 Unit) _ 1 Tahun _ Canvassing awal &amp; Sales Call</t>
        </is>
      </c>
    </row>
    <row r="23">
      <c r="A23" t="inlineStr">
        <is>
          <t>Fuji</t>
        </is>
      </c>
      <c r="B23" t="inlineStr"/>
      <c r="C23" t="inlineStr">
        <is>
          <t>Ravico</t>
        </is>
      </c>
      <c r="D23" t="inlineStr">
        <is>
          <t>OTGDS</t>
        </is>
      </c>
      <c r="E23" t="inlineStr">
        <is>
          <t>PT AVABANINDO PERKASA</t>
        </is>
      </c>
      <c r="F23" t="inlineStr">
        <is>
          <t>M</t>
        </is>
      </c>
      <c r="G23" t="inlineStr">
        <is>
          <t>7.26.00345</t>
        </is>
      </c>
      <c r="H23" t="inlineStr">
        <is>
          <t>Leads</t>
        </is>
      </c>
      <c r="I23" t="n">
        <v>0</v>
      </c>
      <c r="J23" t="n">
        <v>109</v>
      </c>
      <c r="K23" t="inlineStr">
        <is>
          <t>Reach Truck 1.5 Ton (1 Unit) _ 1 Tahun _ Canvassing awal &amp; Sales Call</t>
        </is>
      </c>
    </row>
    <row r="24">
      <c r="A24" t="inlineStr">
        <is>
          <t>Fuji</t>
        </is>
      </c>
      <c r="B24" t="inlineStr"/>
      <c r="C24" t="inlineStr">
        <is>
          <t>Ravico</t>
        </is>
      </c>
      <c r="D24" t="inlineStr">
        <is>
          <t>KYOUEI</t>
        </is>
      </c>
      <c r="E24" t="inlineStr">
        <is>
          <t>PT INDONESIA KYOUEI SAIKYU</t>
        </is>
      </c>
      <c r="F24" t="inlineStr">
        <is>
          <t>M</t>
        </is>
      </c>
      <c r="G24" t="inlineStr">
        <is>
          <t>7.26.00351</t>
        </is>
      </c>
      <c r="H24" t="inlineStr">
        <is>
          <t>Leads</t>
        </is>
      </c>
      <c r="I24" t="n">
        <v>0</v>
      </c>
      <c r="J24" t="n">
        <v>23</v>
      </c>
      <c r="K24" t="inlineStr">
        <is>
          <t>Reach Truck 1.5 Ton (1 Unit) _ 1 Tahun _ Canvassing awal &amp; Sales Call</t>
        </is>
      </c>
    </row>
    <row r="25">
      <c r="A25" t="inlineStr">
        <is>
          <t>Fuji</t>
        </is>
      </c>
      <c r="B25" t="inlineStr"/>
      <c r="C25" t="inlineStr">
        <is>
          <t>Ravico</t>
        </is>
      </c>
      <c r="D25" t="inlineStr">
        <is>
          <t>IDKIND</t>
        </is>
      </c>
      <c r="E25" t="inlineStr">
        <is>
          <t>PT IDAKA INDONESIA</t>
        </is>
      </c>
      <c r="F25" t="inlineStr">
        <is>
          <t>M</t>
        </is>
      </c>
      <c r="G25" t="inlineStr">
        <is>
          <t>7.26.00352</t>
        </is>
      </c>
      <c r="H25" t="inlineStr">
        <is>
          <t>Leads</t>
        </is>
      </c>
      <c r="I25" t="n">
        <v>0</v>
      </c>
      <c r="J25" t="n">
        <v>23</v>
      </c>
      <c r="K25" t="inlineStr">
        <is>
          <t>Reach Truck 1.5 Ton (1 Unit) _ 1 Tahun _ Canvassing awal &amp; Sales Call</t>
        </is>
      </c>
    </row>
    <row r="26">
      <c r="A26" t="inlineStr">
        <is>
          <t>Fuji</t>
        </is>
      </c>
      <c r="B26" t="inlineStr"/>
      <c r="C26" t="inlineStr">
        <is>
          <t>Ravico</t>
        </is>
      </c>
      <c r="D26" t="inlineStr">
        <is>
          <t>EXAKSS</t>
        </is>
      </c>
      <c r="E26" t="inlineStr">
        <is>
          <t>PT EXTERRAN INDONESIA</t>
        </is>
      </c>
      <c r="F26" t="inlineStr">
        <is>
          <t>M</t>
        </is>
      </c>
      <c r="G26" t="inlineStr">
        <is>
          <t>7.26.00353</t>
        </is>
      </c>
      <c r="H26" t="inlineStr">
        <is>
          <t>Leads</t>
        </is>
      </c>
      <c r="I26" t="n">
        <v>0</v>
      </c>
      <c r="J26" t="n">
        <v>23</v>
      </c>
      <c r="K26" t="inlineStr">
        <is>
          <t>Reach Truck 1.5 Ton (1 Unit) _ 1 Tahun _ Canvassing awal &amp; Sales Call</t>
        </is>
      </c>
    </row>
    <row r="27">
      <c r="A27" t="inlineStr">
        <is>
          <t>Fuji</t>
        </is>
      </c>
      <c r="B27" t="inlineStr"/>
      <c r="C27" t="inlineStr">
        <is>
          <t>Ravico</t>
        </is>
      </c>
      <c r="D27" t="inlineStr">
        <is>
          <t>FYSHI</t>
        </is>
      </c>
      <c r="E27" t="inlineStr">
        <is>
          <t>PT FUKUGO SHIZAI INDONESIA</t>
        </is>
      </c>
      <c r="F27" t="inlineStr">
        <is>
          <t>M</t>
        </is>
      </c>
      <c r="G27" t="inlineStr">
        <is>
          <t>7.26.00354</t>
        </is>
      </c>
      <c r="H27" t="inlineStr">
        <is>
          <t>Leads</t>
        </is>
      </c>
      <c r="I27" t="n">
        <v>0</v>
      </c>
      <c r="J27" t="n">
        <v>23</v>
      </c>
      <c r="K27" t="inlineStr">
        <is>
          <t>Reach Truck 1.5 Ton (1 Unit) _ 1 Tahun _ Canvassing awal &amp; Sales Call</t>
        </is>
      </c>
    </row>
    <row r="28">
      <c r="A28" t="inlineStr">
        <is>
          <t>Fuji</t>
        </is>
      </c>
      <c r="B28" t="inlineStr"/>
      <c r="C28" t="inlineStr">
        <is>
          <t>Ravico</t>
        </is>
      </c>
      <c r="D28" t="inlineStr">
        <is>
          <t>OTGDS</t>
        </is>
      </c>
      <c r="E28" t="inlineStr">
        <is>
          <t>PT AVABANINDO PERKASA</t>
        </is>
      </c>
      <c r="F28" t="inlineStr">
        <is>
          <t>M</t>
        </is>
      </c>
      <c r="G28" t="inlineStr">
        <is>
          <t>7.26.00355</t>
        </is>
      </c>
      <c r="H28" t="inlineStr">
        <is>
          <t>Leads</t>
        </is>
      </c>
      <c r="I28" t="n">
        <v>0</v>
      </c>
      <c r="J28" t="n">
        <v>114</v>
      </c>
      <c r="K28" t="inlineStr">
        <is>
          <t>Reach Truck 1.5 Ton (1 Unit) _ 1 Tahun _ Canvassing awal &amp; Sales Call</t>
        </is>
      </c>
    </row>
    <row r="29">
      <c r="A29" t="inlineStr">
        <is>
          <t>Fuji</t>
        </is>
      </c>
      <c r="B29" t="inlineStr"/>
      <c r="C29" t="inlineStr">
        <is>
          <t>Ravico</t>
        </is>
      </c>
      <c r="D29" t="inlineStr">
        <is>
          <t>KAGA</t>
        </is>
      </c>
      <c r="E29" t="inlineStr">
        <is>
          <t>PT KAGA ELECTRONICS INDONESIA</t>
        </is>
      </c>
      <c r="F29" t="inlineStr">
        <is>
          <t>M</t>
        </is>
      </c>
      <c r="G29" t="inlineStr">
        <is>
          <t>7.26.00359</t>
        </is>
      </c>
      <c r="H29" t="inlineStr">
        <is>
          <t>Leads</t>
        </is>
      </c>
      <c r="I29" t="n">
        <v>0</v>
      </c>
      <c r="J29" t="n">
        <v>24</v>
      </c>
      <c r="K29" t="inlineStr">
        <is>
          <t>Reach Truck 1.5 Ton (1 Unit) _ 1 Tahun _ Canvassing awal &amp; Sales Call</t>
        </is>
      </c>
    </row>
    <row r="30">
      <c r="A30" t="inlineStr">
        <is>
          <t>Fuji</t>
        </is>
      </c>
      <c r="B30" t="inlineStr"/>
      <c r="C30" t="inlineStr">
        <is>
          <t>Ravico</t>
        </is>
      </c>
      <c r="D30" t="inlineStr">
        <is>
          <t>KUSANO</t>
        </is>
      </c>
      <c r="E30" t="inlineStr">
        <is>
          <t>PT KUSANO SANGYO INDONESIA</t>
        </is>
      </c>
      <c r="F30" t="inlineStr">
        <is>
          <t>M</t>
        </is>
      </c>
      <c r="G30" t="inlineStr">
        <is>
          <t>7.26.00363</t>
        </is>
      </c>
      <c r="H30" t="inlineStr">
        <is>
          <t>Leads</t>
        </is>
      </c>
      <c r="I30" t="n">
        <v>0</v>
      </c>
      <c r="J30" t="n">
        <v>24</v>
      </c>
      <c r="K30" t="inlineStr">
        <is>
          <t>Reach Truck 1.5 Ton (1 Unit) _ 1 Tahun _ Canvassing awal &amp; Sales Call</t>
        </is>
      </c>
    </row>
    <row r="31">
      <c r="A31" t="inlineStr">
        <is>
          <t>Fuji</t>
        </is>
      </c>
      <c r="B31" t="inlineStr"/>
      <c r="C31" t="inlineStr">
        <is>
          <t>Ravico</t>
        </is>
      </c>
      <c r="D31" t="inlineStr">
        <is>
          <t>NURMA</t>
        </is>
      </c>
      <c r="E31" t="inlineStr">
        <is>
          <t>PT NURMA HUSADA ABADI</t>
        </is>
      </c>
      <c r="F31" t="inlineStr">
        <is>
          <t>M</t>
        </is>
      </c>
      <c r="G31" t="inlineStr">
        <is>
          <t>7.26.00366</t>
        </is>
      </c>
      <c r="H31" t="inlineStr">
        <is>
          <t>Leads</t>
        </is>
      </c>
      <c r="I31" t="n">
        <v>0</v>
      </c>
      <c r="J31" t="n">
        <v>116</v>
      </c>
      <c r="K31" t="inlineStr">
        <is>
          <t>Reach Truck 1.5 Ton (1 Unit) _ 1 Tahun _ Canvassing awal &amp; Sales Call</t>
        </is>
      </c>
    </row>
    <row r="32">
      <c r="A32" t="inlineStr">
        <is>
          <t>Fuji</t>
        </is>
      </c>
      <c r="B32" t="inlineStr"/>
      <c r="C32" t="inlineStr">
        <is>
          <t>Ravico</t>
        </is>
      </c>
      <c r="D32" t="inlineStr">
        <is>
          <t>TQOC</t>
        </is>
      </c>
      <c r="E32" t="inlineStr">
        <is>
          <t>PT TOYO QUALITY ONE CORPORATION</t>
        </is>
      </c>
      <c r="F32" t="inlineStr">
        <is>
          <t>M</t>
        </is>
      </c>
      <c r="G32" t="inlineStr">
        <is>
          <t>7.26.00368</t>
        </is>
      </c>
      <c r="H32" t="inlineStr">
        <is>
          <t>Leads</t>
        </is>
      </c>
      <c r="I32" t="n">
        <v>0</v>
      </c>
      <c r="J32" t="n">
        <v>25</v>
      </c>
      <c r="K32" t="inlineStr">
        <is>
          <t>Reach Truck 1.5 Ton (1 Unit) _ 1 Tahun _ Canvassing awal &amp; Sales Call</t>
        </is>
      </c>
    </row>
    <row r="33">
      <c r="A33" t="inlineStr">
        <is>
          <t>Fuji</t>
        </is>
      </c>
      <c r="B33" t="inlineStr"/>
      <c r="C33" t="inlineStr">
        <is>
          <t>Ravico</t>
        </is>
      </c>
      <c r="D33" t="inlineStr">
        <is>
          <t>NISHINIHON</t>
        </is>
      </c>
      <c r="E33" t="inlineStr">
        <is>
          <t>PT NISHINIHON ELECTRONIC INDONESIA</t>
        </is>
      </c>
      <c r="F33" t="inlineStr">
        <is>
          <t>M</t>
        </is>
      </c>
      <c r="G33" t="inlineStr">
        <is>
          <t>7.26.00377</t>
        </is>
      </c>
      <c r="H33" t="inlineStr">
        <is>
          <t>Leads</t>
        </is>
      </c>
      <c r="I33" t="n">
        <v>0</v>
      </c>
      <c r="J33" t="n">
        <v>29</v>
      </c>
      <c r="K33" t="inlineStr">
        <is>
          <t>Reach Truck 1.5 Ton (1 Unit) _ 1 Tahun _ Canvassing awal &amp; Sales Call</t>
        </is>
      </c>
    </row>
    <row r="34">
      <c r="A34" t="inlineStr">
        <is>
          <t>Fuji</t>
        </is>
      </c>
      <c r="B34" t="inlineStr"/>
      <c r="C34" t="inlineStr">
        <is>
          <t>Ravico</t>
        </is>
      </c>
      <c r="D34" t="inlineStr">
        <is>
          <t>CPM</t>
        </is>
      </c>
      <c r="E34" t="inlineStr">
        <is>
          <t>PT CIKARANG PERKASA MANUFACTURING</t>
        </is>
      </c>
      <c r="F34" t="inlineStr">
        <is>
          <t>M</t>
        </is>
      </c>
      <c r="G34" t="inlineStr">
        <is>
          <t>7.26.00379</t>
        </is>
      </c>
      <c r="H34" t="inlineStr">
        <is>
          <t>Leads</t>
        </is>
      </c>
      <c r="I34" t="n">
        <v>0</v>
      </c>
      <c r="J34" t="n">
        <v>29</v>
      </c>
      <c r="K34" t="inlineStr">
        <is>
          <t>Reach Truck 1.5 Ton (1 Unit) _ 1 Tahun _ Canvassing awal &amp; Sales Call</t>
        </is>
      </c>
    </row>
    <row r="35">
      <c r="A35" t="inlineStr">
        <is>
          <t>Fuji</t>
        </is>
      </c>
      <c r="B35" t="inlineStr"/>
      <c r="C35" t="inlineStr">
        <is>
          <t>Ravico</t>
        </is>
      </c>
      <c r="D35" t="inlineStr">
        <is>
          <t>WOODLAM</t>
        </is>
      </c>
      <c r="E35" t="inlineStr">
        <is>
          <t>PT WOODLAM INDONESIA ABADI</t>
        </is>
      </c>
      <c r="F35" t="inlineStr">
        <is>
          <t>M</t>
        </is>
      </c>
      <c r="G35" t="inlineStr">
        <is>
          <t>7.26.00388</t>
        </is>
      </c>
      <c r="H35" t="inlineStr">
        <is>
          <t>Prospect</t>
        </is>
      </c>
      <c r="I35" t="n">
        <v>12</v>
      </c>
      <c r="J35" t="n">
        <v>192</v>
      </c>
      <c r="K35" t="inlineStr">
        <is>
          <t>Forklift 3 Ton (2 Unit) _ 2 Tahun _ SPH Dikirim ke User</t>
        </is>
      </c>
    </row>
    <row r="36">
      <c r="A36" t="inlineStr">
        <is>
          <t>Fuji</t>
        </is>
      </c>
      <c r="B36" t="inlineStr"/>
      <c r="C36" t="inlineStr">
        <is>
          <t>Ravico</t>
        </is>
      </c>
      <c r="D36" t="inlineStr">
        <is>
          <t>AGSI</t>
        </is>
      </c>
      <c r="E36" t="inlineStr">
        <is>
          <t>PT ANEKA GAS INDUSTRI TBK</t>
        </is>
      </c>
      <c r="F36" t="inlineStr">
        <is>
          <t>S</t>
        </is>
      </c>
      <c r="G36" t="inlineStr">
        <is>
          <t>7.26.00396</t>
        </is>
      </c>
      <c r="H36" t="inlineStr">
        <is>
          <t>Leads</t>
        </is>
      </c>
      <c r="I36" t="n">
        <v>0</v>
      </c>
      <c r="J36" t="n">
        <v>29</v>
      </c>
      <c r="K36" t="inlineStr">
        <is>
          <t>Reach Truck 1.5 Ton (1 Unit) _ 1 Tahun _ Canvassing awal &amp; Sales Call</t>
        </is>
      </c>
    </row>
    <row r="37">
      <c r="A37" t="inlineStr">
        <is>
          <t>Fuji</t>
        </is>
      </c>
      <c r="B37" t="inlineStr"/>
      <c r="C37" t="inlineStr">
        <is>
          <t>Ravico</t>
        </is>
      </c>
      <c r="D37" t="inlineStr">
        <is>
          <t>DAG</t>
        </is>
      </c>
      <c r="E37" t="inlineStr">
        <is>
          <t>DARMAWAN ARYANSYAH GROUP</t>
        </is>
      </c>
      <c r="F37" t="inlineStr"/>
      <c r="G37" t="inlineStr">
        <is>
          <t>7.26.00415</t>
        </is>
      </c>
      <c r="H37" t="inlineStr">
        <is>
          <t>Leads</t>
        </is>
      </c>
      <c r="I37" t="n">
        <v>0</v>
      </c>
      <c r="J37" t="n">
        <v>29</v>
      </c>
      <c r="K37" t="inlineStr">
        <is>
          <t>Reach Truck 1.5 Ton (1 Unit) _ 1 Tahun _ Canvassing awal &amp; Sales Call</t>
        </is>
      </c>
    </row>
    <row r="38">
      <c r="A38" t="inlineStr">
        <is>
          <t>Fuji</t>
        </is>
      </c>
      <c r="B38" t="inlineStr"/>
      <c r="C38" t="inlineStr">
        <is>
          <t>Ravico</t>
        </is>
      </c>
      <c r="D38" t="inlineStr">
        <is>
          <t>GRANDMC</t>
        </is>
      </c>
      <c r="E38" t="inlineStr">
        <is>
          <t>GRAND MULTI CHEMICALS</t>
        </is>
      </c>
      <c r="F38" t="inlineStr">
        <is>
          <t>S</t>
        </is>
      </c>
      <c r="G38" t="inlineStr">
        <is>
          <t>7.26.00430</t>
        </is>
      </c>
      <c r="H38" t="inlineStr">
        <is>
          <t>Leads</t>
        </is>
      </c>
      <c r="I38" t="n">
        <v>0</v>
      </c>
      <c r="J38" t="n">
        <v>29</v>
      </c>
      <c r="K38" t="inlineStr">
        <is>
          <t>Reach Truck 1.5 Ton (1 Unit) _ 1 Tahun _ Canvassing awal &amp; Sales Call</t>
        </is>
      </c>
    </row>
    <row r="39">
      <c r="A39" t="inlineStr">
        <is>
          <t>Fuji</t>
        </is>
      </c>
      <c r="B39" t="inlineStr"/>
      <c r="C39" t="inlineStr">
        <is>
          <t>Ravico</t>
        </is>
      </c>
      <c r="D39" t="inlineStr">
        <is>
          <t>INDOCEMENT</t>
        </is>
      </c>
      <c r="E39" t="inlineStr">
        <is>
          <t>PT INDOCEMENT TUNGGAL PRAKARSA TBK</t>
        </is>
      </c>
      <c r="F39" t="inlineStr">
        <is>
          <t>L</t>
        </is>
      </c>
      <c r="G39" t="inlineStr">
        <is>
          <t>7.26.00451</t>
        </is>
      </c>
      <c r="H39" t="inlineStr">
        <is>
          <t>Leads</t>
        </is>
      </c>
      <c r="I39" t="n">
        <v>0</v>
      </c>
      <c r="J39" t="n">
        <v>29</v>
      </c>
      <c r="K39" t="inlineStr">
        <is>
          <t>Reach Truck 1.5 Ton (1 Unit) _ 1 Tahun _ Canvassing awal &amp; Sales Call</t>
        </is>
      </c>
    </row>
    <row r="40">
      <c r="A40" t="inlineStr">
        <is>
          <t>Fuji</t>
        </is>
      </c>
      <c r="B40" t="inlineStr"/>
      <c r="C40" t="inlineStr">
        <is>
          <t>Ravico</t>
        </is>
      </c>
      <c r="D40" t="inlineStr">
        <is>
          <t>INTIKARYAP</t>
        </is>
      </c>
      <c r="E40" t="inlineStr">
        <is>
          <t>INTI KARYA PERSADA TEHNIK</t>
        </is>
      </c>
      <c r="F40" t="inlineStr">
        <is>
          <t>L</t>
        </is>
      </c>
      <c r="G40" t="inlineStr">
        <is>
          <t>7.26.00463</t>
        </is>
      </c>
      <c r="H40" t="inlineStr">
        <is>
          <t>Leads</t>
        </is>
      </c>
      <c r="I40" t="n">
        <v>0</v>
      </c>
      <c r="J40" t="n">
        <v>29</v>
      </c>
      <c r="K40" t="inlineStr">
        <is>
          <t>Reach Truck 1.5 Ton (1 Unit) _ 1 Tahun _ Canvassing awal &amp; Sales Call</t>
        </is>
      </c>
    </row>
    <row r="41">
      <c r="A41" t="inlineStr">
        <is>
          <t>Fuji</t>
        </is>
      </c>
      <c r="B41" t="inlineStr"/>
      <c r="C41" t="inlineStr">
        <is>
          <t>Ravico</t>
        </is>
      </c>
      <c r="D41" t="inlineStr">
        <is>
          <t>ITOKI</t>
        </is>
      </c>
      <c r="E41" t="inlineStr">
        <is>
          <t>ITOKI SOLUTIONS INDONESIA</t>
        </is>
      </c>
      <c r="F41" t="inlineStr"/>
      <c r="G41" t="inlineStr">
        <is>
          <t>7.26.00465</t>
        </is>
      </c>
      <c r="H41" t="inlineStr">
        <is>
          <t>Leads</t>
        </is>
      </c>
      <c r="I41" t="n">
        <v>0</v>
      </c>
      <c r="J41" t="n">
        <v>29</v>
      </c>
      <c r="K41" t="inlineStr">
        <is>
          <t>Reach Truck 1.5 Ton (1 Unit) _ 1 Tahun _ Canvassing awal &amp; Sales Call</t>
        </is>
      </c>
    </row>
    <row r="42">
      <c r="A42" t="inlineStr">
        <is>
          <t>Fuji</t>
        </is>
      </c>
      <c r="B42" t="inlineStr"/>
      <c r="C42" t="inlineStr">
        <is>
          <t>Ravico</t>
        </is>
      </c>
      <c r="D42" t="inlineStr">
        <is>
          <t>JAWASATU</t>
        </is>
      </c>
      <c r="E42" t="inlineStr">
        <is>
          <t>JAWA SATU POWER</t>
        </is>
      </c>
      <c r="F42" t="inlineStr"/>
      <c r="G42" t="inlineStr">
        <is>
          <t>7.26.00467</t>
        </is>
      </c>
      <c r="H42" t="inlineStr">
        <is>
          <t>Leads</t>
        </is>
      </c>
      <c r="I42" t="n">
        <v>0</v>
      </c>
      <c r="J42" t="n">
        <v>29</v>
      </c>
      <c r="K42" t="inlineStr">
        <is>
          <t>Reach Truck 1.5 Ton (1 Unit) _ 1 Tahun _ Canvassing awal &amp; Sales Call</t>
        </is>
      </c>
    </row>
    <row r="43">
      <c r="A43" t="inlineStr">
        <is>
          <t>Fuji</t>
        </is>
      </c>
      <c r="B43" t="inlineStr"/>
      <c r="C43" t="inlineStr">
        <is>
          <t>Ravico</t>
        </is>
      </c>
      <c r="D43" t="inlineStr">
        <is>
          <t>UNGGULBUDI</t>
        </is>
      </c>
      <c r="E43" t="inlineStr">
        <is>
          <t>PT UNGGUL BUDI LESTARI</t>
        </is>
      </c>
      <c r="F43" t="inlineStr">
        <is>
          <t>L</t>
        </is>
      </c>
      <c r="G43" t="inlineStr">
        <is>
          <t>7.26.00500</t>
        </is>
      </c>
      <c r="H43" t="inlineStr">
        <is>
          <t>Leads</t>
        </is>
      </c>
      <c r="I43" t="n">
        <v>0</v>
      </c>
      <c r="J43" t="n">
        <v>122</v>
      </c>
      <c r="K43" t="inlineStr">
        <is>
          <t>Reach Truck 1.5 Ton (1 Unit) _ 1 Tahun _ Canvassing awal &amp; Sales Call</t>
        </is>
      </c>
    </row>
    <row r="44">
      <c r="A44" t="inlineStr">
        <is>
          <t>Fuji</t>
        </is>
      </c>
      <c r="B44" t="inlineStr"/>
      <c r="C44" t="inlineStr">
        <is>
          <t>Ravico</t>
        </is>
      </c>
      <c r="D44" t="inlineStr">
        <is>
          <t>GRAHABARA</t>
        </is>
      </c>
      <c r="E44" t="inlineStr">
        <is>
          <t>GRAHA BARA LESTARI</t>
        </is>
      </c>
      <c r="F44" t="inlineStr"/>
      <c r="G44" t="inlineStr">
        <is>
          <t>7.26.00513</t>
        </is>
      </c>
      <c r="H44" t="inlineStr">
        <is>
          <t>Leads</t>
        </is>
      </c>
      <c r="I44" t="n">
        <v>0</v>
      </c>
      <c r="J44" t="n">
        <v>36</v>
      </c>
      <c r="K44" t="inlineStr">
        <is>
          <t>Reach Truck 1.5 Ton (1 Unit) _ 1 Tahun _ Canvassing awal &amp; Sales Call</t>
        </is>
      </c>
    </row>
    <row r="45">
      <c r="A45" t="inlineStr">
        <is>
          <t>Fuji</t>
        </is>
      </c>
      <c r="B45" t="inlineStr"/>
      <c r="C45" t="inlineStr">
        <is>
          <t>Ravico</t>
        </is>
      </c>
      <c r="D45" t="inlineStr">
        <is>
          <t>JADDIINTER</t>
        </is>
      </c>
      <c r="E45" t="inlineStr">
        <is>
          <t>JADDI INTERNASIONAL</t>
        </is>
      </c>
      <c r="F45" t="inlineStr"/>
      <c r="G45" t="inlineStr">
        <is>
          <t>7.26.00519</t>
        </is>
      </c>
      <c r="H45" t="inlineStr">
        <is>
          <t>Leads</t>
        </is>
      </c>
      <c r="I45" t="n">
        <v>0</v>
      </c>
      <c r="J45" t="n">
        <v>36</v>
      </c>
      <c r="K45" t="inlineStr">
        <is>
          <t>Reach Truck 1.5 Ton (1 Unit) _ 1 Tahun _ Canvassing awal &amp; Sales Call</t>
        </is>
      </c>
    </row>
    <row r="46">
      <c r="A46" t="inlineStr">
        <is>
          <t>Fuji</t>
        </is>
      </c>
      <c r="B46" t="inlineStr"/>
      <c r="C46" t="inlineStr">
        <is>
          <t>Ravico</t>
        </is>
      </c>
      <c r="D46" t="inlineStr">
        <is>
          <t>UNGGULBUDI</t>
        </is>
      </c>
      <c r="E46" t="inlineStr">
        <is>
          <t>PT UNGGUL BUDI LESTARI</t>
        </is>
      </c>
      <c r="F46" t="inlineStr">
        <is>
          <t>L</t>
        </is>
      </c>
      <c r="G46" t="inlineStr">
        <is>
          <t>7.26.00576</t>
        </is>
      </c>
      <c r="H46" t="inlineStr">
        <is>
          <t>Leads</t>
        </is>
      </c>
      <c r="I46" t="n">
        <v>0</v>
      </c>
      <c r="J46" t="n">
        <v>43</v>
      </c>
      <c r="K46" t="inlineStr">
        <is>
          <t>Reach Truck 1.5 Ton (1 Unit) _ 1 Tahun _ Canvassing awal &amp; Sales Call</t>
        </is>
      </c>
    </row>
    <row r="47">
      <c r="A47" t="inlineStr">
        <is>
          <t>Fuji</t>
        </is>
      </c>
      <c r="B47" t="inlineStr"/>
      <c r="C47" t="inlineStr">
        <is>
          <t>Ravico</t>
        </is>
      </c>
      <c r="D47" t="inlineStr">
        <is>
          <t>LOGICOM</t>
        </is>
      </c>
      <c r="E47" t="inlineStr">
        <is>
          <t>PT LOGICOM CAKRA INDONESIA</t>
        </is>
      </c>
      <c r="F47" t="inlineStr">
        <is>
          <t>M</t>
        </is>
      </c>
      <c r="G47" t="inlineStr">
        <is>
          <t>7.26.00588</t>
        </is>
      </c>
      <c r="H47" t="inlineStr">
        <is>
          <t>Leads</t>
        </is>
      </c>
      <c r="I47" t="n">
        <v>0</v>
      </c>
      <c r="J47" t="n">
        <v>50</v>
      </c>
      <c r="K47" t="inlineStr">
        <is>
          <t>Reach Truck 1.5 Ton (1 Unit) _ 1 Tahun _ Canvassing awal &amp; Sales Call</t>
        </is>
      </c>
    </row>
    <row r="48">
      <c r="A48" t="inlineStr">
        <is>
          <t>Fuji</t>
        </is>
      </c>
      <c r="B48" t="inlineStr"/>
      <c r="C48" t="inlineStr">
        <is>
          <t>Ravico</t>
        </is>
      </c>
      <c r="D48" t="inlineStr">
        <is>
          <t>PPPT</t>
        </is>
      </c>
      <c r="E48" t="inlineStr">
        <is>
          <t>PT POLYMINDO PERMATA</t>
        </is>
      </c>
      <c r="F48" t="inlineStr">
        <is>
          <t>M</t>
        </is>
      </c>
      <c r="G48" t="inlineStr">
        <is>
          <t>7.26.00593</t>
        </is>
      </c>
      <c r="H48" t="inlineStr">
        <is>
          <t>Leads</t>
        </is>
      </c>
      <c r="I48" t="n">
        <v>0</v>
      </c>
      <c r="J48" t="n">
        <v>52</v>
      </c>
      <c r="K48" t="inlineStr">
        <is>
          <t>Reach Truck 1.5 Ton (1 Unit) _ 1 Tahun _ Canvassing awal &amp; Sales Call</t>
        </is>
      </c>
    </row>
    <row r="49">
      <c r="A49" t="inlineStr">
        <is>
          <t>Fuji</t>
        </is>
      </c>
      <c r="B49" t="inlineStr"/>
      <c r="C49" t="inlineStr">
        <is>
          <t>Ravico</t>
        </is>
      </c>
      <c r="D49" t="inlineStr">
        <is>
          <t>AYODYA</t>
        </is>
      </c>
      <c r="E49" t="inlineStr">
        <is>
          <t>PT AYODYA DIALOG SEMESTA</t>
        </is>
      </c>
      <c r="F49" t="inlineStr">
        <is>
          <t>M</t>
        </is>
      </c>
      <c r="G49" t="inlineStr">
        <is>
          <t>7.26.00612</t>
        </is>
      </c>
      <c r="H49" t="inlineStr">
        <is>
          <t>Leads</t>
        </is>
      </c>
      <c r="I49" t="n">
        <v>0</v>
      </c>
      <c r="J49" t="n">
        <v>59</v>
      </c>
      <c r="K49" t="inlineStr">
        <is>
          <t>Reach Truck 1.5 Ton (1 Unit) _ 1 Tahun _ Canvassing awal &amp; Sales Call</t>
        </is>
      </c>
    </row>
    <row r="50">
      <c r="A50" t="inlineStr">
        <is>
          <t>Fuji</t>
        </is>
      </c>
      <c r="B50" t="inlineStr"/>
      <c r="C50" t="inlineStr">
        <is>
          <t>Ravico</t>
        </is>
      </c>
      <c r="D50" t="inlineStr">
        <is>
          <t>FOTEC</t>
        </is>
      </c>
      <c r="E50" t="inlineStr">
        <is>
          <t>PT FOTEC INTER MAKMUR</t>
        </is>
      </c>
      <c r="F50" t="inlineStr">
        <is>
          <t>M</t>
        </is>
      </c>
      <c r="G50" t="inlineStr">
        <is>
          <t>7.26.00613</t>
        </is>
      </c>
      <c r="H50" t="inlineStr">
        <is>
          <t>Leads</t>
        </is>
      </c>
      <c r="I50" t="n">
        <v>0</v>
      </c>
      <c r="J50" t="n">
        <v>59</v>
      </c>
      <c r="K50" t="inlineStr">
        <is>
          <t>Reach Truck 1.5 Ton (1 Unit) _ 1 Tahun _ Canvassing awal &amp; Sales Call</t>
        </is>
      </c>
    </row>
    <row r="51">
      <c r="A51" t="inlineStr">
        <is>
          <t>Fuji</t>
        </is>
      </c>
      <c r="B51" t="inlineStr"/>
      <c r="C51" t="inlineStr">
        <is>
          <t>Ravico</t>
        </is>
      </c>
      <c r="D51" t="inlineStr">
        <is>
          <t>DPIPT</t>
        </is>
      </c>
      <c r="E51" t="inlineStr">
        <is>
          <t>PT DAYA PIONEER INTERNATIONAL</t>
        </is>
      </c>
      <c r="F51" t="inlineStr">
        <is>
          <t>M</t>
        </is>
      </c>
      <c r="G51" t="inlineStr">
        <is>
          <t>7.26.00626</t>
        </is>
      </c>
      <c r="H51" t="inlineStr">
        <is>
          <t>Leads</t>
        </is>
      </c>
      <c r="I51" t="n">
        <v>0</v>
      </c>
      <c r="J51" t="n">
        <v>59</v>
      </c>
      <c r="K51" t="inlineStr">
        <is>
          <t>Reach Truck 1.5 Ton (1 Unit) _ 1 Tahun _ Canvassing awal &amp; Sales Call</t>
        </is>
      </c>
    </row>
    <row r="52">
      <c r="A52" t="inlineStr">
        <is>
          <t>Fuji</t>
        </is>
      </c>
      <c r="B52" t="inlineStr"/>
      <c r="C52" t="inlineStr">
        <is>
          <t>Ravico</t>
        </is>
      </c>
      <c r="D52" t="inlineStr">
        <is>
          <t>MAXISNACKS</t>
        </is>
      </c>
      <c r="E52" t="inlineStr">
        <is>
          <t>MAXINDO KARYA ANUGERAH</t>
        </is>
      </c>
      <c r="F52" t="inlineStr">
        <is>
          <t>S</t>
        </is>
      </c>
      <c r="G52" t="inlineStr">
        <is>
          <t>7.26.00633</t>
        </is>
      </c>
      <c r="H52" t="inlineStr">
        <is>
          <t>Leads</t>
        </is>
      </c>
      <c r="I52" t="n">
        <v>0</v>
      </c>
      <c r="J52" t="n">
        <v>60</v>
      </c>
      <c r="K52" t="inlineStr">
        <is>
          <t>Reach Truck 1.5 Ton (1 Unit) _ 1 Tahun _ Canvassing awal &amp; Sales Call</t>
        </is>
      </c>
    </row>
    <row r="53">
      <c r="A53" t="inlineStr">
        <is>
          <t>Fuji</t>
        </is>
      </c>
      <c r="B53" t="inlineStr"/>
      <c r="C53" t="inlineStr">
        <is>
          <t>Ravico</t>
        </is>
      </c>
      <c r="D53" t="inlineStr">
        <is>
          <t>GMN</t>
        </is>
      </c>
      <c r="E53" t="inlineStr">
        <is>
          <t>PT GESITS MOTOR NUSANTARA</t>
        </is>
      </c>
      <c r="F53" t="inlineStr">
        <is>
          <t>M</t>
        </is>
      </c>
      <c r="G53" t="inlineStr">
        <is>
          <t>7.26.00636</t>
        </is>
      </c>
      <c r="H53" t="inlineStr">
        <is>
          <t>Leads</t>
        </is>
      </c>
      <c r="I53" t="n">
        <v>0</v>
      </c>
      <c r="J53" t="n">
        <v>60</v>
      </c>
      <c r="K53" t="inlineStr">
        <is>
          <t>Reach Truck 1.5 Ton (1 Unit) _ 1 Tahun _ Canvassing awal &amp; Sales Call</t>
        </is>
      </c>
    </row>
    <row r="54">
      <c r="A54" t="inlineStr">
        <is>
          <t>Fuji</t>
        </is>
      </c>
      <c r="B54" t="inlineStr"/>
      <c r="C54" t="inlineStr">
        <is>
          <t>Ravico</t>
        </is>
      </c>
      <c r="D54" t="inlineStr">
        <is>
          <t>GBPT</t>
        </is>
      </c>
      <c r="E54" t="inlineStr">
        <is>
          <t>PT GLOBALINDO SUKSES TBK</t>
        </is>
      </c>
      <c r="F54" t="inlineStr">
        <is>
          <t>S</t>
        </is>
      </c>
      <c r="G54" t="inlineStr">
        <is>
          <t>7.26.00637</t>
        </is>
      </c>
      <c r="H54" t="inlineStr">
        <is>
          <t>Leads</t>
        </is>
      </c>
      <c r="I54" t="n">
        <v>0</v>
      </c>
      <c r="J54" t="n">
        <v>60</v>
      </c>
      <c r="K54" t="inlineStr">
        <is>
          <t>Reach Truck 1.5 Ton (1 Unit) _ 1 Tahun _ Canvassing awal &amp; Sales Call</t>
        </is>
      </c>
    </row>
    <row r="55">
      <c r="A55" t="inlineStr">
        <is>
          <t>Fuji</t>
        </is>
      </c>
      <c r="B55" t="inlineStr"/>
      <c r="C55" t="inlineStr">
        <is>
          <t>Ravico</t>
        </is>
      </c>
      <c r="D55" t="inlineStr">
        <is>
          <t>GTNPT</t>
        </is>
      </c>
      <c r="E55" t="inlineStr">
        <is>
          <t>PT GAYAMAKMUR TECHNO NUSANTARA</t>
        </is>
      </c>
      <c r="F55" t="inlineStr">
        <is>
          <t>M</t>
        </is>
      </c>
      <c r="G55" t="inlineStr">
        <is>
          <t>7.26.00660</t>
        </is>
      </c>
      <c r="H55" t="inlineStr">
        <is>
          <t>Leads</t>
        </is>
      </c>
      <c r="I55" t="n">
        <v>0</v>
      </c>
      <c r="J55" t="n">
        <v>65</v>
      </c>
      <c r="K55" t="inlineStr">
        <is>
          <t>Reach Truck 1.5 Ton (1 Unit) _ 1 Tahun _ Canvassing awal &amp; Sales Call</t>
        </is>
      </c>
    </row>
    <row r="56">
      <c r="A56" t="inlineStr">
        <is>
          <t>Fuji</t>
        </is>
      </c>
      <c r="B56" t="inlineStr"/>
      <c r="C56" t="inlineStr">
        <is>
          <t>Ravico</t>
        </is>
      </c>
      <c r="D56" t="inlineStr">
        <is>
          <t>AAS</t>
        </is>
      </c>
      <c r="E56" t="inlineStr">
        <is>
          <t>PT ANUGRAH ANALISIS SEMPURNA</t>
        </is>
      </c>
      <c r="F56" t="inlineStr">
        <is>
          <t>M</t>
        </is>
      </c>
      <c r="G56" t="inlineStr">
        <is>
          <t>7.26.00675</t>
        </is>
      </c>
      <c r="H56" t="inlineStr">
        <is>
          <t>Leads</t>
        </is>
      </c>
      <c r="I56" t="n">
        <v>0</v>
      </c>
      <c r="J56" t="n">
        <v>164</v>
      </c>
      <c r="K56" t="inlineStr">
        <is>
          <t>Reach Truck 1.5 Ton (1 Unit) _ 1 Tahun _ Canvassing awal &amp; Sales Call</t>
        </is>
      </c>
    </row>
    <row r="57">
      <c r="A57" t="inlineStr">
        <is>
          <t>Fuji</t>
        </is>
      </c>
      <c r="B57" t="inlineStr"/>
      <c r="C57" t="inlineStr">
        <is>
          <t>Ravico</t>
        </is>
      </c>
      <c r="D57" t="inlineStr">
        <is>
          <t>IASS</t>
        </is>
      </c>
      <c r="E57" t="inlineStr">
        <is>
          <t>PT IAS SUPPORT INDONESIA</t>
        </is>
      </c>
      <c r="F57" t="inlineStr">
        <is>
          <t>M</t>
        </is>
      </c>
      <c r="G57" t="inlineStr">
        <is>
          <t>7.26.00676</t>
        </is>
      </c>
      <c r="H57" t="inlineStr">
        <is>
          <t>Leads</t>
        </is>
      </c>
      <c r="I57" t="n">
        <v>0</v>
      </c>
      <c r="J57" t="n">
        <v>164</v>
      </c>
      <c r="K57" t="inlineStr">
        <is>
          <t>Reach Truck 1.5 Ton (1 Unit) _ 1 Tahun _ Canvassing awal &amp; Sales Call</t>
        </is>
      </c>
    </row>
    <row r="58">
      <c r="A58" t="inlineStr">
        <is>
          <t>Fuji</t>
        </is>
      </c>
      <c r="B58" t="inlineStr"/>
      <c r="C58" t="inlineStr">
        <is>
          <t>Ravico</t>
        </is>
      </c>
      <c r="D58" t="inlineStr">
        <is>
          <t>USC</t>
        </is>
      </c>
      <c r="E58" t="inlineStr">
        <is>
          <t>PT UNITED STEEL CENTER INDONESIA</t>
        </is>
      </c>
      <c r="F58" t="inlineStr">
        <is>
          <t>L</t>
        </is>
      </c>
      <c r="G58" t="inlineStr">
        <is>
          <t>7.26.00677</t>
        </is>
      </c>
      <c r="H58" t="inlineStr">
        <is>
          <t>Leads</t>
        </is>
      </c>
      <c r="I58" t="n">
        <v>0</v>
      </c>
      <c r="J58" t="n">
        <v>164</v>
      </c>
      <c r="K58" t="inlineStr">
        <is>
          <t>Reach Truck 1.5 Ton (1 Unit) _ 1 Tahun _ Canvassing awal &amp; Sales Call</t>
        </is>
      </c>
    </row>
    <row r="59">
      <c r="A59" t="inlineStr">
        <is>
          <t>Fuji</t>
        </is>
      </c>
      <c r="B59" t="inlineStr"/>
      <c r="C59" t="inlineStr">
        <is>
          <t>Ravico</t>
        </is>
      </c>
      <c r="D59" t="inlineStr">
        <is>
          <t>APS</t>
        </is>
      </c>
      <c r="E59" t="inlineStr">
        <is>
          <t>PT ANGKASA PURA SOLUSI</t>
        </is>
      </c>
      <c r="F59" t="inlineStr">
        <is>
          <t>M</t>
        </is>
      </c>
      <c r="G59" t="inlineStr">
        <is>
          <t>7.26.00678</t>
        </is>
      </c>
      <c r="H59" t="inlineStr">
        <is>
          <t>Leads</t>
        </is>
      </c>
      <c r="I59" t="n">
        <v>0</v>
      </c>
      <c r="J59" t="n">
        <v>71</v>
      </c>
      <c r="K59" t="inlineStr">
        <is>
          <t>Reach Truck 1.5 Ton (1 Unit) _ 1 Tahun _ Canvassing awal &amp; Sales Call</t>
        </is>
      </c>
    </row>
    <row r="60">
      <c r="A60" t="inlineStr">
        <is>
          <t>Fuji</t>
        </is>
      </c>
      <c r="B60" t="inlineStr"/>
      <c r="C60" t="inlineStr">
        <is>
          <t>Ravico</t>
        </is>
      </c>
      <c r="D60" t="inlineStr">
        <is>
          <t>SCTPT</t>
        </is>
      </c>
      <c r="E60" t="inlineStr">
        <is>
          <t>PT STARINDO CLEANING TECHNOLOGIES</t>
        </is>
      </c>
      <c r="F60" t="inlineStr">
        <is>
          <t>M</t>
        </is>
      </c>
      <c r="G60" t="inlineStr">
        <is>
          <t>7.26.00695</t>
        </is>
      </c>
      <c r="H60" t="inlineStr">
        <is>
          <t>Leads</t>
        </is>
      </c>
      <c r="I60" t="n">
        <v>0</v>
      </c>
      <c r="J60" t="n">
        <v>73</v>
      </c>
      <c r="K60" t="inlineStr">
        <is>
          <t>Reach Truck 1.5 Ton (1 Unit) _ 1 Tahun _ Canvassing awal &amp; Sales Call</t>
        </is>
      </c>
    </row>
    <row r="61">
      <c r="A61" t="inlineStr">
        <is>
          <t>Fuji</t>
        </is>
      </c>
      <c r="B61" t="inlineStr"/>
      <c r="C61" t="inlineStr">
        <is>
          <t>Ravico</t>
        </is>
      </c>
      <c r="D61" t="inlineStr">
        <is>
          <t>SRAPT</t>
        </is>
      </c>
      <c r="E61" t="inlineStr">
        <is>
          <t>PT STRATEJIK REKACIPTA ANDALAN</t>
        </is>
      </c>
      <c r="F61" t="inlineStr">
        <is>
          <t>M</t>
        </is>
      </c>
      <c r="G61" t="inlineStr">
        <is>
          <t>7.26.00696</t>
        </is>
      </c>
      <c r="H61" t="inlineStr">
        <is>
          <t>Leads</t>
        </is>
      </c>
      <c r="I61" t="n">
        <v>0</v>
      </c>
      <c r="J61" t="n">
        <v>73</v>
      </c>
      <c r="K61" t="inlineStr">
        <is>
          <t>Reach Truck 1.5 Ton (1 Unit) _ 1 Tahun _ Canvassing awal &amp; Sales Call</t>
        </is>
      </c>
    </row>
    <row r="62">
      <c r="A62" t="inlineStr">
        <is>
          <t>Fuji</t>
        </is>
      </c>
      <c r="B62" t="inlineStr"/>
      <c r="C62" t="inlineStr">
        <is>
          <t>Ravico</t>
        </is>
      </c>
      <c r="D62" t="inlineStr">
        <is>
          <t>PTIPT</t>
        </is>
      </c>
      <c r="E62" t="inlineStr">
        <is>
          <t>PT PIOVAN TECHNOLOGY INDONESIA</t>
        </is>
      </c>
      <c r="F62" t="inlineStr">
        <is>
          <t>M</t>
        </is>
      </c>
      <c r="G62" t="inlineStr">
        <is>
          <t>7.26.00700</t>
        </is>
      </c>
      <c r="H62" t="inlineStr">
        <is>
          <t>Leads</t>
        </is>
      </c>
      <c r="I62" t="n">
        <v>0</v>
      </c>
      <c r="J62" t="n">
        <v>74</v>
      </c>
      <c r="K62" t="inlineStr">
        <is>
          <t>Reach Truck 1.5 Ton (1 Unit) _ 1 Tahun _ Canvassing awal &amp; Sales Call</t>
        </is>
      </c>
    </row>
    <row r="63">
      <c r="A63" t="inlineStr">
        <is>
          <t>Fuji</t>
        </is>
      </c>
      <c r="B63" t="inlineStr"/>
      <c r="C63" t="inlineStr">
        <is>
          <t>Ravico</t>
        </is>
      </c>
      <c r="D63" t="inlineStr">
        <is>
          <t>KYOTOSEIKO</t>
        </is>
      </c>
      <c r="E63" t="inlineStr">
        <is>
          <t>PT KYOTOSEIKO INDONESIA</t>
        </is>
      </c>
      <c r="F63" t="inlineStr">
        <is>
          <t>S</t>
        </is>
      </c>
      <c r="G63" t="inlineStr">
        <is>
          <t>7.26.00710</t>
        </is>
      </c>
      <c r="H63" t="inlineStr">
        <is>
          <t>Leads</t>
        </is>
      </c>
      <c r="I63" t="n">
        <v>0</v>
      </c>
      <c r="J63" t="n">
        <v>77</v>
      </c>
      <c r="K63" t="inlineStr">
        <is>
          <t>Reach Truck 1.5 Ton (1 Unit) _ 1 Tahun _ Canvassing awal &amp; Sales Call</t>
        </is>
      </c>
    </row>
    <row r="64">
      <c r="A64" t="inlineStr">
        <is>
          <t>Fuji</t>
        </is>
      </c>
      <c r="B64" t="inlineStr"/>
      <c r="C64" t="inlineStr">
        <is>
          <t>Ravico</t>
        </is>
      </c>
      <c r="D64" t="inlineStr">
        <is>
          <t>SINSYN</t>
        </is>
      </c>
      <c r="E64" t="inlineStr">
        <is>
          <t>SINAR SYNO KIMIA</t>
        </is>
      </c>
      <c r="F64" t="inlineStr"/>
      <c r="G64" t="inlineStr">
        <is>
          <t>7.26.00711</t>
        </is>
      </c>
      <c r="H64" t="inlineStr">
        <is>
          <t>Leads</t>
        </is>
      </c>
      <c r="I64" t="n">
        <v>0</v>
      </c>
      <c r="J64" t="n">
        <v>77</v>
      </c>
      <c r="K64" t="inlineStr">
        <is>
          <t>Reach Truck 1.5 Ton (1 Unit) _ 1 Tahun _ Canvassing awal &amp; Sales Call</t>
        </is>
      </c>
    </row>
    <row r="65">
      <c r="A65" t="inlineStr">
        <is>
          <t>Fuji</t>
        </is>
      </c>
      <c r="B65" t="inlineStr"/>
      <c r="C65" t="inlineStr">
        <is>
          <t>Ravico</t>
        </is>
      </c>
      <c r="D65" t="inlineStr">
        <is>
          <t>JMTPT</t>
        </is>
      </c>
      <c r="E65" t="inlineStr">
        <is>
          <t>PT JAYA METAL TEKNIKA</t>
        </is>
      </c>
      <c r="F65" t="inlineStr">
        <is>
          <t>M</t>
        </is>
      </c>
      <c r="G65" t="inlineStr">
        <is>
          <t>7.26.00715</t>
        </is>
      </c>
      <c r="H65" t="inlineStr">
        <is>
          <t>Leads</t>
        </is>
      </c>
      <c r="I65" t="n">
        <v>0</v>
      </c>
      <c r="J65" t="n">
        <v>79</v>
      </c>
      <c r="K65" t="inlineStr">
        <is>
          <t>Reach Truck 1.5 Ton (1 Unit) _ 1 Tahun _ Canvassing awal &amp; Sales Call</t>
        </is>
      </c>
    </row>
    <row r="66">
      <c r="A66" t="inlineStr">
        <is>
          <t>Fuji</t>
        </is>
      </c>
      <c r="B66" t="inlineStr"/>
      <c r="C66" t="inlineStr">
        <is>
          <t>Ravico</t>
        </is>
      </c>
      <c r="D66" t="inlineStr">
        <is>
          <t>SMTPT</t>
        </is>
      </c>
      <c r="E66" t="inlineStr">
        <is>
          <t>PT SMT INDONESIA</t>
        </is>
      </c>
      <c r="F66" t="inlineStr">
        <is>
          <t>M</t>
        </is>
      </c>
      <c r="G66" t="inlineStr">
        <is>
          <t>7.26.00718</t>
        </is>
      </c>
      <c r="H66" t="inlineStr">
        <is>
          <t>Leads</t>
        </is>
      </c>
      <c r="I66" t="n">
        <v>0</v>
      </c>
      <c r="J66" t="n">
        <v>79</v>
      </c>
      <c r="K66" t="inlineStr">
        <is>
          <t>Reach Truck 1.5 Ton (1 Unit) _ 1 Tahun _ Canvassing awal &amp; Sales Call</t>
        </is>
      </c>
    </row>
    <row r="67">
      <c r="A67" t="inlineStr">
        <is>
          <t>Fuji</t>
        </is>
      </c>
      <c r="B67" t="inlineStr"/>
      <c r="C67" t="inlineStr">
        <is>
          <t>Ravico</t>
        </is>
      </c>
      <c r="D67" t="inlineStr">
        <is>
          <t>MSKEIPT</t>
        </is>
      </c>
      <c r="E67" t="inlineStr">
        <is>
          <t>PT MSK ENGINEERING INDONESIA</t>
        </is>
      </c>
      <c r="F67" t="inlineStr">
        <is>
          <t>M</t>
        </is>
      </c>
      <c r="G67" t="inlineStr">
        <is>
          <t>7.26.00721</t>
        </is>
      </c>
      <c r="H67" t="inlineStr">
        <is>
          <t>Leads</t>
        </is>
      </c>
      <c r="I67" t="n">
        <v>0</v>
      </c>
      <c r="J67" t="n">
        <v>81</v>
      </c>
      <c r="K67" t="inlineStr">
        <is>
          <t>Reach Truck 1.5 Ton (1 Unit) _ 1 Tahun _ Canvassing awal &amp; Sales Call</t>
        </is>
      </c>
    </row>
    <row r="68">
      <c r="A68" t="inlineStr">
        <is>
          <t>Fuji</t>
        </is>
      </c>
      <c r="B68" t="inlineStr"/>
      <c r="C68" t="inlineStr">
        <is>
          <t>Ravico</t>
        </is>
      </c>
      <c r="D68" t="inlineStr">
        <is>
          <t>IASS</t>
        </is>
      </c>
      <c r="E68" t="inlineStr">
        <is>
          <t>PT IAS SUPPORT INDONESIA</t>
        </is>
      </c>
      <c r="F68" t="inlineStr">
        <is>
          <t>M</t>
        </is>
      </c>
      <c r="G68" t="inlineStr">
        <is>
          <t>7.26.00722</t>
        </is>
      </c>
      <c r="H68" t="inlineStr">
        <is>
          <t>Leads</t>
        </is>
      </c>
      <c r="I68" t="n">
        <v>0</v>
      </c>
      <c r="J68" t="n">
        <v>171</v>
      </c>
      <c r="K68" t="inlineStr">
        <is>
          <t>Reach Truck 1.5 Ton (1 Unit) _ 1 Tahun _ Canvassing awal &amp; Sales Call</t>
        </is>
      </c>
    </row>
    <row r="69">
      <c r="A69" t="inlineStr">
        <is>
          <t>Fuji</t>
        </is>
      </c>
      <c r="B69" t="inlineStr"/>
      <c r="C69" t="inlineStr">
        <is>
          <t>Ravico</t>
        </is>
      </c>
      <c r="D69" t="inlineStr">
        <is>
          <t>IASS</t>
        </is>
      </c>
      <c r="E69" t="inlineStr">
        <is>
          <t>PT IAS SUPPORT INDONESIA</t>
        </is>
      </c>
      <c r="F69" t="inlineStr">
        <is>
          <t>M</t>
        </is>
      </c>
      <c r="G69" t="inlineStr">
        <is>
          <t>7.26.00723</t>
        </is>
      </c>
      <c r="H69" t="inlineStr">
        <is>
          <t>Leads</t>
        </is>
      </c>
      <c r="I69" t="n">
        <v>0</v>
      </c>
      <c r="J69" t="n">
        <v>171</v>
      </c>
      <c r="K69" t="inlineStr">
        <is>
          <t>Reach Truck 1.5 Ton (1 Unit) _ 1 Tahun _ Canvassing awal &amp; Sales Call</t>
        </is>
      </c>
    </row>
    <row r="70">
      <c r="A70" t="inlineStr">
        <is>
          <t>Fuji</t>
        </is>
      </c>
      <c r="B70" t="inlineStr"/>
      <c r="C70" t="inlineStr">
        <is>
          <t>Ravico</t>
        </is>
      </c>
      <c r="D70" t="inlineStr">
        <is>
          <t>PRDL</t>
        </is>
      </c>
      <c r="E70" t="inlineStr">
        <is>
          <t>PT PRODIA DIAGNOSTIC LINE TBK</t>
        </is>
      </c>
      <c r="F70" t="inlineStr">
        <is>
          <t>L</t>
        </is>
      </c>
      <c r="G70" t="inlineStr">
        <is>
          <t>7.26.00734</t>
        </is>
      </c>
      <c r="H70" t="inlineStr">
        <is>
          <t>Leads</t>
        </is>
      </c>
      <c r="I70" t="n">
        <v>0</v>
      </c>
      <c r="J70" t="n">
        <v>85</v>
      </c>
      <c r="K70" t="inlineStr">
        <is>
          <t>Reach Truck 1.5 Ton (1 Unit) _ 1 Tahun _ Canvassing awal &amp; Sales Call</t>
        </is>
      </c>
    </row>
    <row r="71">
      <c r="A71" t="inlineStr">
        <is>
          <t>Fuji</t>
        </is>
      </c>
      <c r="B71" t="inlineStr"/>
      <c r="C71" t="inlineStr">
        <is>
          <t>Ravico</t>
        </is>
      </c>
      <c r="D71" t="inlineStr">
        <is>
          <t>TPMPT</t>
        </is>
      </c>
      <c r="E71" t="inlineStr">
        <is>
          <t>PT TRIMITRA PLASTIK MANDIRI TBK</t>
        </is>
      </c>
      <c r="F71" t="inlineStr">
        <is>
          <t>S</t>
        </is>
      </c>
      <c r="G71" t="inlineStr">
        <is>
          <t>7.26.00743</t>
        </is>
      </c>
      <c r="H71" t="inlineStr">
        <is>
          <t>Leads</t>
        </is>
      </c>
      <c r="I71" t="n">
        <v>0</v>
      </c>
      <c r="J71" t="n">
        <v>85</v>
      </c>
      <c r="K71" t="inlineStr">
        <is>
          <t>Reach Truck 1.5 Ton (1 Unit) _ 1 Tahun _ Canvassing awal &amp; Sales Call</t>
        </is>
      </c>
    </row>
    <row r="72">
      <c r="A72" t="inlineStr">
        <is>
          <t>Fuji</t>
        </is>
      </c>
      <c r="B72" t="inlineStr"/>
      <c r="C72" t="inlineStr">
        <is>
          <t>Ravico</t>
        </is>
      </c>
      <c r="D72" t="inlineStr">
        <is>
          <t>HEROAA</t>
        </is>
      </c>
      <c r="E72" t="inlineStr">
        <is>
          <t>PT HERO INTIPUTRA</t>
        </is>
      </c>
      <c r="F72" t="inlineStr">
        <is>
          <t>M</t>
        </is>
      </c>
      <c r="G72" t="inlineStr">
        <is>
          <t>7.26.00750</t>
        </is>
      </c>
      <c r="H72" t="inlineStr">
        <is>
          <t>Leads</t>
        </is>
      </c>
      <c r="I72" t="n">
        <v>0</v>
      </c>
      <c r="J72" t="n">
        <v>177</v>
      </c>
      <c r="K72" t="inlineStr">
        <is>
          <t>Reach Truck 1.5 Ton (1 Unit) _ 1 Tahun _ Canvassing awal &amp; Sales Call</t>
        </is>
      </c>
    </row>
    <row r="73">
      <c r="A73" t="inlineStr">
        <is>
          <t>Fuji</t>
        </is>
      </c>
      <c r="B73" t="inlineStr"/>
      <c r="C73" t="inlineStr">
        <is>
          <t>Ravico</t>
        </is>
      </c>
      <c r="D73" t="inlineStr">
        <is>
          <t>CCPT</t>
        </is>
      </c>
      <c r="E73" t="inlineStr">
        <is>
          <t>PT MANDIRI SEKURITAS TBK</t>
        </is>
      </c>
      <c r="F73" t="inlineStr">
        <is>
          <t>S</t>
        </is>
      </c>
      <c r="G73" t="inlineStr">
        <is>
          <t>7.26.00757</t>
        </is>
      </c>
      <c r="H73" t="inlineStr">
        <is>
          <t>Leads</t>
        </is>
      </c>
      <c r="I73" t="n">
        <v>0</v>
      </c>
      <c r="J73" t="n">
        <v>88</v>
      </c>
      <c r="K73" t="inlineStr">
        <is>
          <t>Reach Truck 1.5 Ton (1 Unit) _ 1 Tahun _ Canvassing awal &amp; Sales Call</t>
        </is>
      </c>
    </row>
    <row r="74">
      <c r="A74" t="inlineStr">
        <is>
          <t>Fuji</t>
        </is>
      </c>
      <c r="B74" t="inlineStr"/>
      <c r="C74" t="inlineStr">
        <is>
          <t>Ravico</t>
        </is>
      </c>
      <c r="D74" t="inlineStr">
        <is>
          <t>GALDERMA</t>
        </is>
      </c>
      <c r="E74" t="inlineStr">
        <is>
          <t>PT GALDERMA INDONESIA HEALTHCARE</t>
        </is>
      </c>
      <c r="F74" t="inlineStr">
        <is>
          <t>M</t>
        </is>
      </c>
      <c r="G74" t="inlineStr">
        <is>
          <t>7.26.00762</t>
        </is>
      </c>
      <c r="H74" t="inlineStr">
        <is>
          <t>Leads</t>
        </is>
      </c>
      <c r="I74" t="n">
        <v>0</v>
      </c>
      <c r="J74" t="n">
        <v>88</v>
      </c>
      <c r="K74" t="inlineStr">
        <is>
          <t>Reach Truck 1.5 Ton (1 Unit) _ 1 Tahun _ Canvassing awal &amp; Sales Call</t>
        </is>
      </c>
    </row>
    <row r="75">
      <c r="A75" t="inlineStr">
        <is>
          <t>Fuji</t>
        </is>
      </c>
      <c r="B75" t="inlineStr"/>
      <c r="C75" t="inlineStr">
        <is>
          <t>Ravico</t>
        </is>
      </c>
      <c r="D75" t="inlineStr">
        <is>
          <t>SENFUPT</t>
        </is>
      </c>
      <c r="E75" t="inlineStr">
        <is>
          <t>PT SENOPATI FUJITRANS LOGISTIC</t>
        </is>
      </c>
      <c r="F75" t="inlineStr">
        <is>
          <t>M</t>
        </is>
      </c>
      <c r="G75" t="inlineStr">
        <is>
          <t>7.26.00769</t>
        </is>
      </c>
      <c r="H75" t="inlineStr">
        <is>
          <t>Prospect</t>
        </is>
      </c>
      <c r="I75" t="n">
        <v>30</v>
      </c>
      <c r="J75" t="n">
        <v>210</v>
      </c>
      <c r="K75" t="inlineStr">
        <is>
          <t>Forklift 3 Ton (2 Unit) _ 2 Tahun _ SPH Dikirim ke User</t>
        </is>
      </c>
    </row>
    <row r="76">
      <c r="A76" t="inlineStr">
        <is>
          <t>Fuji</t>
        </is>
      </c>
      <c r="B76" t="inlineStr"/>
      <c r="C76" t="inlineStr">
        <is>
          <t>Ravico</t>
        </is>
      </c>
      <c r="D76" t="inlineStr">
        <is>
          <t>JOHNROBERT</t>
        </is>
      </c>
      <c r="E76" t="inlineStr">
        <is>
          <t>PT JOHN ROBERT POWERS</t>
        </is>
      </c>
      <c r="F76" t="inlineStr">
        <is>
          <t>M</t>
        </is>
      </c>
      <c r="G76" t="inlineStr">
        <is>
          <t>7.26.00771</t>
        </is>
      </c>
      <c r="H76" t="inlineStr">
        <is>
          <t>Leads</t>
        </is>
      </c>
      <c r="I76" t="n">
        <v>0</v>
      </c>
      <c r="J76" t="n">
        <v>91</v>
      </c>
      <c r="K76" t="inlineStr">
        <is>
          <t>Reach Truck 1.5 Ton (1 Unit) _ 1 Tahun _ Canvassing awal &amp; Sales Call</t>
        </is>
      </c>
    </row>
    <row r="77">
      <c r="A77" t="inlineStr">
        <is>
          <t>Fuji</t>
        </is>
      </c>
      <c r="B77" t="inlineStr"/>
      <c r="C77" t="inlineStr">
        <is>
          <t>Ravico</t>
        </is>
      </c>
      <c r="D77" t="inlineStr">
        <is>
          <t>MJLLOGPT</t>
        </is>
      </c>
      <c r="E77" t="inlineStr">
        <is>
          <t>PT MJL LOGISTIC JAKARTA</t>
        </is>
      </c>
      <c r="F77" t="inlineStr">
        <is>
          <t>M</t>
        </is>
      </c>
      <c r="G77" t="inlineStr">
        <is>
          <t>7.26.00777</t>
        </is>
      </c>
      <c r="H77" t="inlineStr">
        <is>
          <t>Leads</t>
        </is>
      </c>
      <c r="I77" t="n">
        <v>0</v>
      </c>
      <c r="J77" t="n">
        <v>92</v>
      </c>
      <c r="K77" t="inlineStr">
        <is>
          <t>Reach Truck 1.5 Ton (1 Unit) _ 1 Tahun _ Canvassing awal &amp; Sales Call</t>
        </is>
      </c>
    </row>
    <row r="78">
      <c r="A78" t="inlineStr">
        <is>
          <t>Fuji</t>
        </is>
      </c>
      <c r="B78" t="inlineStr"/>
      <c r="C78" t="inlineStr">
        <is>
          <t>Ravico</t>
        </is>
      </c>
      <c r="D78" t="inlineStr">
        <is>
          <t>VALVOLINE</t>
        </is>
      </c>
      <c r="E78" t="inlineStr">
        <is>
          <t>PT VALVOLINE INDONESIA</t>
        </is>
      </c>
      <c r="F78" t="inlineStr">
        <is>
          <t>M</t>
        </is>
      </c>
      <c r="G78" t="inlineStr">
        <is>
          <t>7.26.00781</t>
        </is>
      </c>
      <c r="H78" t="inlineStr">
        <is>
          <t>Leads</t>
        </is>
      </c>
      <c r="I78" t="n">
        <v>0</v>
      </c>
      <c r="J78" t="n">
        <v>92</v>
      </c>
      <c r="K78" t="inlineStr">
        <is>
          <t>Reach Truck 1.5 Ton (1 Unit) _ 1 Tahun _ Canvassing awal &amp; Sales Call</t>
        </is>
      </c>
    </row>
    <row r="79">
      <c r="A79" t="inlineStr">
        <is>
          <t>Fuji</t>
        </is>
      </c>
      <c r="B79" t="inlineStr"/>
      <c r="C79" t="inlineStr">
        <is>
          <t>Ravico</t>
        </is>
      </c>
      <c r="D79" t="inlineStr">
        <is>
          <t>DAYAMAS</t>
        </is>
      </c>
      <c r="E79" t="inlineStr">
        <is>
          <t>PT DAYA MAS BUMI SENTOSA</t>
        </is>
      </c>
      <c r="F79" t="inlineStr">
        <is>
          <t>M</t>
        </is>
      </c>
      <c r="G79" t="inlineStr">
        <is>
          <t>7.26.00787</t>
        </is>
      </c>
      <c r="H79" t="inlineStr">
        <is>
          <t>Prospect</t>
        </is>
      </c>
      <c r="I79" t="n">
        <v>4</v>
      </c>
      <c r="J79" t="n">
        <v>184</v>
      </c>
      <c r="K79" t="inlineStr">
        <is>
          <t>Forklift 3 Ton (2 Unit) _ 2 Tahun _ SPH Dikirim ke User</t>
        </is>
      </c>
    </row>
    <row r="80">
      <c r="A80" t="inlineStr">
        <is>
          <t>Fuji</t>
        </is>
      </c>
      <c r="B80" t="inlineStr"/>
      <c r="C80" t="inlineStr">
        <is>
          <t>Ravico</t>
        </is>
      </c>
      <c r="D80" t="inlineStr">
        <is>
          <t>CHUNETSU</t>
        </is>
      </c>
      <c r="E80" t="inlineStr">
        <is>
          <t>PT CHUNETSU INDONESIA</t>
        </is>
      </c>
      <c r="F80" t="inlineStr">
        <is>
          <t>M</t>
        </is>
      </c>
      <c r="G80" t="inlineStr">
        <is>
          <t>7.26.00790</t>
        </is>
      </c>
      <c r="H80" t="inlineStr">
        <is>
          <t>Leads</t>
        </is>
      </c>
      <c r="I80" t="n">
        <v>0</v>
      </c>
      <c r="J80" t="n">
        <v>98</v>
      </c>
      <c r="K80" t="inlineStr">
        <is>
          <t>Reach Truck 1.5 Ton (1 Unit) _ 1 Tahun _ Canvassing awal &amp; Sales Call</t>
        </is>
      </c>
    </row>
    <row r="81">
      <c r="A81" t="inlineStr">
        <is>
          <t>Fuji</t>
        </is>
      </c>
      <c r="B81" t="inlineStr"/>
      <c r="C81" t="inlineStr">
        <is>
          <t>Ravico</t>
        </is>
      </c>
      <c r="D81" t="inlineStr">
        <is>
          <t>BMIPT</t>
        </is>
      </c>
      <c r="E81" t="inlineStr">
        <is>
          <t>PT BUMI MENARA INTERNUSA</t>
        </is>
      </c>
      <c r="F81" t="inlineStr">
        <is>
          <t>L</t>
        </is>
      </c>
      <c r="G81" t="inlineStr">
        <is>
          <t>7.26.00795</t>
        </is>
      </c>
      <c r="H81" t="inlineStr">
        <is>
          <t>Prospect</t>
        </is>
      </c>
      <c r="I81" t="n">
        <v>23</v>
      </c>
      <c r="J81" t="n">
        <v>203</v>
      </c>
      <c r="K81" t="inlineStr">
        <is>
          <t>Forklift 3 Ton (2 Unit) _ 2 Tahun _ SPH Dikirim ke User</t>
        </is>
      </c>
    </row>
    <row r="82">
      <c r="A82" t="inlineStr">
        <is>
          <t>Fuji</t>
        </is>
      </c>
      <c r="B82" t="inlineStr"/>
      <c r="C82" t="inlineStr">
        <is>
          <t>Ravico</t>
        </is>
      </c>
      <c r="D82" t="inlineStr">
        <is>
          <t>SHINHEUNG</t>
        </is>
      </c>
      <c r="E82" t="inlineStr">
        <is>
          <t>PT SHINHEUNG INDONESIA</t>
        </is>
      </c>
      <c r="F82" t="inlineStr">
        <is>
          <t>M</t>
        </is>
      </c>
      <c r="G82" t="inlineStr">
        <is>
          <t>7.26.00800</t>
        </is>
      </c>
      <c r="H82" t="inlineStr">
        <is>
          <t>Leads</t>
        </is>
      </c>
      <c r="I82" t="n">
        <v>0</v>
      </c>
      <c r="J82" t="n">
        <v>102</v>
      </c>
      <c r="K82" t="inlineStr">
        <is>
          <t>Reach Truck 1.5 Ton (1 Unit) _ 1 Tahun _ Canvassing awal &amp; Sales Call</t>
        </is>
      </c>
    </row>
    <row r="83">
      <c r="A83" t="inlineStr">
        <is>
          <t>Fuji</t>
        </is>
      </c>
      <c r="B83" t="inlineStr"/>
      <c r="C83" t="inlineStr">
        <is>
          <t>Ravico</t>
        </is>
      </c>
      <c r="D83" t="inlineStr">
        <is>
          <t>HABDONG</t>
        </is>
      </c>
      <c r="E83" t="inlineStr">
        <is>
          <t>PT HAB DONG INDONESIA TBK</t>
        </is>
      </c>
      <c r="F83" t="inlineStr">
        <is>
          <t>S</t>
        </is>
      </c>
      <c r="G83" t="inlineStr">
        <is>
          <t>7.26.00802</t>
        </is>
      </c>
      <c r="H83" t="inlineStr">
        <is>
          <t>Leads</t>
        </is>
      </c>
      <c r="I83" t="n">
        <v>0</v>
      </c>
      <c r="J83" t="n">
        <v>102</v>
      </c>
      <c r="K83" t="inlineStr">
        <is>
          <t>Reach Truck 1.5 Ton (1 Unit) _ 1 Tahun _ Canvassing awal &amp; Sales Call</t>
        </is>
      </c>
    </row>
    <row r="84">
      <c r="A84" t="inlineStr">
        <is>
          <t>Fuji</t>
        </is>
      </c>
      <c r="B84" t="inlineStr"/>
      <c r="C84" t="inlineStr">
        <is>
          <t>Ravico</t>
        </is>
      </c>
      <c r="D84" t="inlineStr">
        <is>
          <t>OEIPT</t>
        </is>
      </c>
      <c r="E84" t="inlineStr">
        <is>
          <t>PT ORIENTAL ELECTRONICS INDONESIA</t>
        </is>
      </c>
      <c r="F84" t="inlineStr">
        <is>
          <t>M</t>
        </is>
      </c>
      <c r="G84" t="inlineStr">
        <is>
          <t>7.26.00803</t>
        </is>
      </c>
      <c r="H84" t="inlineStr">
        <is>
          <t>Leads</t>
        </is>
      </c>
      <c r="I84" t="n">
        <v>0</v>
      </c>
      <c r="J84" t="n">
        <v>102</v>
      </c>
      <c r="K84" t="inlineStr">
        <is>
          <t>Reach Truck 1.5 Ton (1 Unit) _ 1 Tahun _ Canvassing awal &amp; Sales Call</t>
        </is>
      </c>
    </row>
    <row r="85">
      <c r="A85" t="inlineStr">
        <is>
          <t>Fuji</t>
        </is>
      </c>
      <c r="B85" t="inlineStr"/>
      <c r="C85" t="inlineStr">
        <is>
          <t>Ravico</t>
        </is>
      </c>
      <c r="D85" t="inlineStr">
        <is>
          <t>LGR&amp;D</t>
        </is>
      </c>
      <c r="E85" t="inlineStr">
        <is>
          <t>PT LG R&amp;D CENTER INDONESIA TBK</t>
        </is>
      </c>
      <c r="F85" t="inlineStr">
        <is>
          <t>S</t>
        </is>
      </c>
      <c r="G85" t="inlineStr">
        <is>
          <t>7.26.00807</t>
        </is>
      </c>
      <c r="H85" t="inlineStr">
        <is>
          <t>Leads</t>
        </is>
      </c>
      <c r="I85" t="n">
        <v>0</v>
      </c>
      <c r="J85" t="n">
        <v>102</v>
      </c>
      <c r="K85" t="inlineStr">
        <is>
          <t>Reach Truck 1.5 Ton (1 Unit) _ 1 Tahun _ Canvassing awal &amp; Sales Call</t>
        </is>
      </c>
    </row>
    <row r="86">
      <c r="A86" t="inlineStr">
        <is>
          <t>Fuji</t>
        </is>
      </c>
      <c r="B86" t="inlineStr"/>
      <c r="C86" t="inlineStr">
        <is>
          <t>Ravico</t>
        </is>
      </c>
      <c r="D86" t="inlineStr">
        <is>
          <t>INDORAMAPT</t>
        </is>
      </c>
      <c r="E86" t="inlineStr">
        <is>
          <t>PT INDORAMA VENTURES INDONESIA</t>
        </is>
      </c>
      <c r="F86" t="inlineStr">
        <is>
          <t>L</t>
        </is>
      </c>
      <c r="G86" t="inlineStr">
        <is>
          <t>7.26.00808</t>
        </is>
      </c>
      <c r="H86" t="inlineStr">
        <is>
          <t>Leads</t>
        </is>
      </c>
      <c r="I86" t="n">
        <v>0</v>
      </c>
      <c r="J86" t="n">
        <v>102</v>
      </c>
      <c r="K86" t="inlineStr">
        <is>
          <t>Reach Truck 1.5 Ton (1 Unit) _ 1 Tahun _ Canvassing awal &amp; Sales Call</t>
        </is>
      </c>
    </row>
    <row r="87">
      <c r="A87" t="inlineStr">
        <is>
          <t>Fuji</t>
        </is>
      </c>
      <c r="B87" t="inlineStr"/>
      <c r="C87" t="inlineStr">
        <is>
          <t>Ravico</t>
        </is>
      </c>
      <c r="D87" t="inlineStr">
        <is>
          <t>SEONGJIN</t>
        </is>
      </c>
      <c r="E87" t="inlineStr">
        <is>
          <t>PT SEONGJIN ENGINEERING INDONESIA</t>
        </is>
      </c>
      <c r="F87" t="inlineStr">
        <is>
          <t>M</t>
        </is>
      </c>
      <c r="G87" t="inlineStr">
        <is>
          <t>7.26.00810</t>
        </is>
      </c>
      <c r="H87" t="inlineStr">
        <is>
          <t>Leads</t>
        </is>
      </c>
      <c r="I87" t="n">
        <v>0</v>
      </c>
      <c r="J87" t="n">
        <v>102</v>
      </c>
      <c r="K87" t="inlineStr">
        <is>
          <t>Reach Truck 1.5 Ton (1 Unit) _ 1 Tahun _ Canvassing awal &amp; Sales Call</t>
        </is>
      </c>
    </row>
    <row r="88">
      <c r="A88" t="inlineStr">
        <is>
          <t>Fuji</t>
        </is>
      </c>
      <c r="B88" t="inlineStr"/>
      <c r="C88" t="inlineStr">
        <is>
          <t>Ravico</t>
        </is>
      </c>
      <c r="D88" t="inlineStr">
        <is>
          <t>MIMAKI</t>
        </is>
      </c>
      <c r="E88" t="inlineStr">
        <is>
          <t>PT MIMAKI INDONESIA</t>
        </is>
      </c>
      <c r="F88" t="inlineStr">
        <is>
          <t>M</t>
        </is>
      </c>
      <c r="G88" t="inlineStr">
        <is>
          <t>7.26.00824</t>
        </is>
      </c>
      <c r="H88" t="inlineStr">
        <is>
          <t>Leads</t>
        </is>
      </c>
      <c r="I88" t="n">
        <v>0</v>
      </c>
      <c r="J88" t="n">
        <v>107</v>
      </c>
      <c r="K88" t="inlineStr">
        <is>
          <t>Reach Truck 1.5 Ton (1 Unit) _ 1 Tahun _ Canvassing awal &amp; Sales Call</t>
        </is>
      </c>
    </row>
    <row r="89">
      <c r="A89" t="inlineStr">
        <is>
          <t>Fuji</t>
        </is>
      </c>
      <c r="B89" t="inlineStr"/>
      <c r="C89" t="inlineStr">
        <is>
          <t>Ravico</t>
        </is>
      </c>
      <c r="D89" t="inlineStr">
        <is>
          <t>WHAIN</t>
        </is>
      </c>
      <c r="E89" t="inlineStr">
        <is>
          <t>PT WHAIN</t>
        </is>
      </c>
      <c r="F89" t="inlineStr">
        <is>
          <t>M</t>
        </is>
      </c>
      <c r="G89" t="inlineStr">
        <is>
          <t>7.26.00827</t>
        </is>
      </c>
      <c r="H89" t="inlineStr">
        <is>
          <t>Leads</t>
        </is>
      </c>
      <c r="I89" t="n">
        <v>0</v>
      </c>
      <c r="J89" t="n">
        <v>107</v>
      </c>
      <c r="K89" t="inlineStr">
        <is>
          <t>Reach Truck 1.5 Ton (1 Unit) _ 1 Tahun _ Canvassing awal &amp; Sales Call</t>
        </is>
      </c>
    </row>
    <row r="90">
      <c r="A90" t="inlineStr">
        <is>
          <t>Fuji</t>
        </is>
      </c>
      <c r="B90" t="inlineStr"/>
      <c r="C90" t="inlineStr">
        <is>
          <t>Ravico</t>
        </is>
      </c>
      <c r="D90" t="inlineStr">
        <is>
          <t>APWI</t>
        </is>
      </c>
      <c r="E90" t="inlineStr">
        <is>
          <t>PT ACWA POWER INDONESIA</t>
        </is>
      </c>
      <c r="F90" t="inlineStr">
        <is>
          <t>L</t>
        </is>
      </c>
      <c r="G90" t="inlineStr">
        <is>
          <t>7.26.00830</t>
        </is>
      </c>
      <c r="H90" t="inlineStr">
        <is>
          <t>Prospect</t>
        </is>
      </c>
      <c r="I90" t="n">
        <v>17</v>
      </c>
      <c r="J90" t="n">
        <v>197</v>
      </c>
      <c r="K90" t="inlineStr">
        <is>
          <t>Forklift 3 Ton (2 Unit) _ 2 Tahun _ SPH Dikirim ke User</t>
        </is>
      </c>
    </row>
    <row r="91">
      <c r="A91" t="inlineStr">
        <is>
          <t>Fuji</t>
        </is>
      </c>
      <c r="B91" t="inlineStr"/>
      <c r="C91" t="inlineStr">
        <is>
          <t>Ravico</t>
        </is>
      </c>
      <c r="D91" t="inlineStr">
        <is>
          <t>APWI</t>
        </is>
      </c>
      <c r="E91" t="inlineStr">
        <is>
          <t>PT ACWA POWER INDONESIA</t>
        </is>
      </c>
      <c r="F91" t="inlineStr">
        <is>
          <t>L</t>
        </is>
      </c>
      <c r="G91" t="inlineStr">
        <is>
          <t>7.26.00833</t>
        </is>
      </c>
      <c r="H91" t="inlineStr">
        <is>
          <t>Prospect</t>
        </is>
      </c>
      <c r="I91" t="n">
        <v>17</v>
      </c>
      <c r="J91" t="n">
        <v>197</v>
      </c>
      <c r="K91" t="inlineStr">
        <is>
          <t>Forklift 3 Ton (2 Unit) _ 2 Tahun _ SPH Dikirim ke User</t>
        </is>
      </c>
    </row>
    <row r="92">
      <c r="A92" t="inlineStr">
        <is>
          <t>Fuji</t>
        </is>
      </c>
      <c r="B92" t="inlineStr"/>
      <c r="C92" t="inlineStr">
        <is>
          <t>Ravico</t>
        </is>
      </c>
      <c r="D92" t="inlineStr">
        <is>
          <t>PILARSAPTA</t>
        </is>
      </c>
      <c r="E92" t="inlineStr">
        <is>
          <t>PT PILAR SAPTA MANDIRI</t>
        </is>
      </c>
      <c r="F92" t="inlineStr">
        <is>
          <t>M</t>
        </is>
      </c>
      <c r="G92" t="inlineStr">
        <is>
          <t>7.26.00851</t>
        </is>
      </c>
      <c r="H92" t="inlineStr">
        <is>
          <t>Leads</t>
        </is>
      </c>
      <c r="I92" t="n">
        <v>0</v>
      </c>
      <c r="J92" t="n">
        <v>112</v>
      </c>
      <c r="K92" t="inlineStr">
        <is>
          <t>Reach Truck 1.5 Ton (1 Unit) _ 1 Tahun _ Canvassing awal &amp; Sales Call</t>
        </is>
      </c>
    </row>
    <row r="93">
      <c r="A93" t="inlineStr">
        <is>
          <t>Fuji</t>
        </is>
      </c>
      <c r="B93" t="inlineStr"/>
      <c r="C93" t="inlineStr">
        <is>
          <t>Ravico</t>
        </is>
      </c>
      <c r="D93" t="inlineStr">
        <is>
          <t>MARTYA</t>
        </is>
      </c>
      <c r="E93" t="inlineStr">
        <is>
          <t>MARTYA CHRISTINA</t>
        </is>
      </c>
      <c r="F93" t="inlineStr">
        <is>
          <t>S</t>
        </is>
      </c>
      <c r="G93" t="inlineStr">
        <is>
          <t>7.26.00859</t>
        </is>
      </c>
      <c r="H93" t="inlineStr">
        <is>
          <t>Prospect</t>
        </is>
      </c>
      <c r="I93" t="n">
        <v>23</v>
      </c>
      <c r="J93" t="n">
        <v>203</v>
      </c>
      <c r="K93" t="inlineStr">
        <is>
          <t>Forklift 3 Ton (2 Unit) _ 2 Tahun _ SPH Dikirim ke User</t>
        </is>
      </c>
    </row>
    <row r="94">
      <c r="A94" t="inlineStr">
        <is>
          <t>Fuji</t>
        </is>
      </c>
      <c r="B94" t="inlineStr"/>
      <c r="C94" t="inlineStr">
        <is>
          <t>Ravico</t>
        </is>
      </c>
      <c r="D94" t="inlineStr">
        <is>
          <t>YPTTSOL</t>
        </is>
      </c>
      <c r="E94" t="inlineStr">
        <is>
          <t>PT YPTT SOLUTIONS INDONESIA</t>
        </is>
      </c>
      <c r="F94" t="inlineStr">
        <is>
          <t>S</t>
        </is>
      </c>
      <c r="G94" t="inlineStr">
        <is>
          <t>7.26.00890</t>
        </is>
      </c>
      <c r="H94" t="inlineStr">
        <is>
          <t>Leads</t>
        </is>
      </c>
      <c r="I94" t="n">
        <v>0</v>
      </c>
      <c r="J94" t="n">
        <v>114</v>
      </c>
      <c r="K94" t="inlineStr">
        <is>
          <t>Reach Truck 1.5 Ton (1 Unit) _ 1 Tahun _ Canvassing awal &amp; Sales Call</t>
        </is>
      </c>
    </row>
    <row r="95">
      <c r="A95" t="inlineStr">
        <is>
          <t>Fuji</t>
        </is>
      </c>
      <c r="B95" t="inlineStr"/>
      <c r="C95" t="inlineStr">
        <is>
          <t>Ravico</t>
        </is>
      </c>
      <c r="D95" t="inlineStr">
        <is>
          <t>YONYOU</t>
        </is>
      </c>
      <c r="E95" t="inlineStr">
        <is>
          <t>YONYOU NETWORK INDONESIA</t>
        </is>
      </c>
      <c r="F95" t="inlineStr">
        <is>
          <t>L</t>
        </is>
      </c>
      <c r="G95" t="inlineStr">
        <is>
          <t>7.26.00894</t>
        </is>
      </c>
      <c r="H95" t="inlineStr">
        <is>
          <t>Leads</t>
        </is>
      </c>
      <c r="I95" t="n">
        <v>0</v>
      </c>
      <c r="J95" t="n">
        <v>114</v>
      </c>
      <c r="K95" t="inlineStr">
        <is>
          <t>Reach Truck 1.5 Ton (1 Unit) _ 1 Tahun _ Canvassing awal &amp; Sales Call</t>
        </is>
      </c>
    </row>
    <row r="96">
      <c r="A96" t="inlineStr">
        <is>
          <t>Fuji</t>
        </is>
      </c>
      <c r="B96" t="inlineStr"/>
      <c r="C96" t="inlineStr">
        <is>
          <t>Ravico</t>
        </is>
      </c>
      <c r="D96" t="inlineStr">
        <is>
          <t>YOH</t>
        </is>
      </c>
      <c r="E96" t="inlineStr">
        <is>
          <t>PT YOHZU INDONESIA</t>
        </is>
      </c>
      <c r="F96" t="inlineStr">
        <is>
          <t>S</t>
        </is>
      </c>
      <c r="G96" t="inlineStr">
        <is>
          <t>7.26.00896</t>
        </is>
      </c>
      <c r="H96" t="inlineStr">
        <is>
          <t>Leads</t>
        </is>
      </c>
      <c r="I96" t="n">
        <v>0</v>
      </c>
      <c r="J96" t="n">
        <v>114</v>
      </c>
      <c r="K96" t="inlineStr">
        <is>
          <t>Reach Truck 1.5 Ton (1 Unit) _ 1 Tahun _ Canvassing awal &amp; Sales Call</t>
        </is>
      </c>
    </row>
    <row r="97">
      <c r="A97" t="inlineStr">
        <is>
          <t>Fuji</t>
        </is>
      </c>
      <c r="B97" t="inlineStr"/>
      <c r="C97" t="inlineStr">
        <is>
          <t>Ravico</t>
        </is>
      </c>
      <c r="D97" t="inlineStr">
        <is>
          <t>YASUNAGA</t>
        </is>
      </c>
      <c r="E97" t="inlineStr">
        <is>
          <t>YASUNAGA INDONESIA</t>
        </is>
      </c>
      <c r="F97" t="inlineStr">
        <is>
          <t>L</t>
        </is>
      </c>
      <c r="G97" t="inlineStr">
        <is>
          <t>7.26.00903</t>
        </is>
      </c>
      <c r="H97" t="inlineStr">
        <is>
          <t>Leads</t>
        </is>
      </c>
      <c r="I97" t="n">
        <v>0</v>
      </c>
      <c r="J97" t="n">
        <v>114</v>
      </c>
      <c r="K97" t="inlineStr">
        <is>
          <t>Reach Truck 1.5 Ton (1 Unit) _ 1 Tahun _ Canvassing awal &amp; Sales Call</t>
        </is>
      </c>
    </row>
    <row r="98">
      <c r="A98" t="inlineStr">
        <is>
          <t>Fuji</t>
        </is>
      </c>
      <c r="B98" t="inlineStr"/>
      <c r="C98" t="inlineStr">
        <is>
          <t>Ravico</t>
        </is>
      </c>
      <c r="D98" t="inlineStr">
        <is>
          <t>YAP</t>
        </is>
      </c>
      <c r="E98" t="inlineStr">
        <is>
          <t>YKK AP INDONESIA</t>
        </is>
      </c>
      <c r="F98" t="inlineStr"/>
      <c r="G98" t="inlineStr">
        <is>
          <t>7.26.00905</t>
        </is>
      </c>
      <c r="H98" t="inlineStr">
        <is>
          <t>Leads</t>
        </is>
      </c>
      <c r="I98" t="n">
        <v>0</v>
      </c>
      <c r="J98" t="n">
        <v>114</v>
      </c>
      <c r="K98" t="inlineStr">
        <is>
          <t>Reach Truck 1.5 Ton (1 Unit) _ 1 Tahun _ Canvassing awal &amp; Sales Call</t>
        </is>
      </c>
    </row>
    <row r="99">
      <c r="A99" t="inlineStr">
        <is>
          <t>Fuji</t>
        </is>
      </c>
      <c r="B99" t="inlineStr"/>
      <c r="C99" t="inlineStr">
        <is>
          <t>Ravico</t>
        </is>
      </c>
      <c r="D99" t="inlineStr">
        <is>
          <t>YAHATA</t>
        </is>
      </c>
      <c r="E99" t="inlineStr">
        <is>
          <t>YAHATA FASTENER INDONESIA</t>
        </is>
      </c>
      <c r="F99" t="inlineStr"/>
      <c r="G99" t="inlineStr">
        <is>
          <t>7.26.00906</t>
        </is>
      </c>
      <c r="H99" t="inlineStr">
        <is>
          <t>Leads</t>
        </is>
      </c>
      <c r="I99" t="n">
        <v>0</v>
      </c>
      <c r="J99" t="n">
        <v>114</v>
      </c>
      <c r="K99" t="inlineStr">
        <is>
          <t>Reach Truck 1.5 Ton (1 Unit) _ 1 Tahun _ Canvassing awal &amp; Sales Call</t>
        </is>
      </c>
    </row>
    <row r="100">
      <c r="A100" t="inlineStr">
        <is>
          <t>Fuji</t>
        </is>
      </c>
      <c r="B100" t="inlineStr"/>
      <c r="C100" t="inlineStr">
        <is>
          <t>Ravico</t>
        </is>
      </c>
      <c r="D100" t="inlineStr">
        <is>
          <t>WKK</t>
        </is>
      </c>
      <c r="E100" t="inlineStr">
        <is>
          <t>PT WAHANA KRIDA KONSULINDO</t>
        </is>
      </c>
      <c r="F100" t="inlineStr">
        <is>
          <t>S</t>
        </is>
      </c>
      <c r="G100" t="inlineStr">
        <is>
          <t>7.26.00911</t>
        </is>
      </c>
      <c r="H100" t="inlineStr">
        <is>
          <t>Leads</t>
        </is>
      </c>
      <c r="I100" t="n">
        <v>0</v>
      </c>
      <c r="J100" t="n">
        <v>114</v>
      </c>
      <c r="K100" t="inlineStr">
        <is>
          <t>Reach Truck 1.5 Ton (1 Unit) _ 1 Tahun _ Canvassing awal &amp; Sales Call</t>
        </is>
      </c>
    </row>
    <row r="101">
      <c r="A101" t="inlineStr">
        <is>
          <t>Fuji</t>
        </is>
      </c>
      <c r="B101" t="inlineStr"/>
      <c r="C101" t="inlineStr">
        <is>
          <t>Ravico</t>
        </is>
      </c>
      <c r="D101" t="inlineStr">
        <is>
          <t>UCIND</t>
        </is>
      </c>
      <c r="E101" t="inlineStr">
        <is>
          <t>UNICHEM CANDI INDONESIA</t>
        </is>
      </c>
      <c r="F101" t="inlineStr">
        <is>
          <t>S</t>
        </is>
      </c>
      <c r="G101" t="inlineStr">
        <is>
          <t>7.26.00931</t>
        </is>
      </c>
      <c r="H101" t="inlineStr">
        <is>
          <t>Leads</t>
        </is>
      </c>
      <c r="I101" t="n">
        <v>0</v>
      </c>
      <c r="J101" t="n">
        <v>114</v>
      </c>
      <c r="K101" t="inlineStr">
        <is>
          <t>Reach Truck 1.5 Ton (1 Unit) _ 1 Tahun _ Canvassing awal &amp; Sales Call</t>
        </is>
      </c>
    </row>
    <row r="102">
      <c r="A102" t="inlineStr">
        <is>
          <t>Fuji</t>
        </is>
      </c>
      <c r="B102" t="inlineStr"/>
      <c r="C102" t="inlineStr">
        <is>
          <t>Ravico</t>
        </is>
      </c>
      <c r="D102" t="inlineStr">
        <is>
          <t>TTME</t>
        </is>
      </c>
      <c r="E102" t="inlineStr">
        <is>
          <t>TOYOTA TSUSHO MECHANICAL DAN ENGINEERING SERVICE INDONESIA</t>
        </is>
      </c>
      <c r="F102" t="inlineStr"/>
      <c r="G102" t="inlineStr">
        <is>
          <t>7.26.00939</t>
        </is>
      </c>
      <c r="H102" t="inlineStr">
        <is>
          <t>Leads</t>
        </is>
      </c>
      <c r="I102" t="n">
        <v>0</v>
      </c>
      <c r="J102" t="n">
        <v>114</v>
      </c>
      <c r="K102" t="inlineStr">
        <is>
          <t>Reach Truck 1.5 Ton (1 Unit) _ 1 Tahun _ Canvassing awal &amp; Sales Call</t>
        </is>
      </c>
    </row>
    <row r="103">
      <c r="A103" t="inlineStr">
        <is>
          <t>Fuji</t>
        </is>
      </c>
      <c r="B103" t="inlineStr"/>
      <c r="C103" t="inlineStr">
        <is>
          <t>Ravico</t>
        </is>
      </c>
      <c r="D103" t="inlineStr">
        <is>
          <t>TSU</t>
        </is>
      </c>
      <c r="E103" t="inlineStr">
        <is>
          <t>PT TSUZUKI INDONESIA</t>
        </is>
      </c>
      <c r="F103" t="inlineStr">
        <is>
          <t>L</t>
        </is>
      </c>
      <c r="G103" t="inlineStr">
        <is>
          <t>7.26.00940</t>
        </is>
      </c>
      <c r="H103" t="inlineStr">
        <is>
          <t>Leads</t>
        </is>
      </c>
      <c r="I103" t="n">
        <v>0</v>
      </c>
      <c r="J103" t="n">
        <v>114</v>
      </c>
      <c r="K103" t="inlineStr">
        <is>
          <t>Reach Truck 1.5 Ton (1 Unit) _ 1 Tahun _ Canvassing awal &amp; Sales Call</t>
        </is>
      </c>
    </row>
    <row r="104">
      <c r="A104" t="inlineStr">
        <is>
          <t>Fuji</t>
        </is>
      </c>
      <c r="B104" t="inlineStr"/>
      <c r="C104" t="inlineStr">
        <is>
          <t>Ravico</t>
        </is>
      </c>
      <c r="D104" t="inlineStr">
        <is>
          <t>TSMF</t>
        </is>
      </c>
      <c r="E104" t="inlineStr">
        <is>
          <t>TSUCHIYA MANUFACTURING INDONESIA</t>
        </is>
      </c>
      <c r="F104" t="inlineStr"/>
      <c r="G104" t="inlineStr">
        <is>
          <t>7.26.00942</t>
        </is>
      </c>
      <c r="H104" t="inlineStr">
        <is>
          <t>Leads</t>
        </is>
      </c>
      <c r="I104" t="n">
        <v>0</v>
      </c>
      <c r="J104" t="n">
        <v>114</v>
      </c>
      <c r="K104" t="inlineStr">
        <is>
          <t>Reach Truck 1.5 Ton (1 Unit) _ 1 Tahun _ Canvassing awal &amp; Sales Call</t>
        </is>
      </c>
    </row>
    <row r="105">
      <c r="A105" t="inlineStr">
        <is>
          <t>Fuji</t>
        </is>
      </c>
      <c r="B105" t="inlineStr"/>
      <c r="C105" t="inlineStr">
        <is>
          <t>Ravico</t>
        </is>
      </c>
      <c r="D105" t="inlineStr">
        <is>
          <t>TOYOTOMO</t>
        </is>
      </c>
      <c r="E105" t="inlineStr">
        <is>
          <t>TOYOTOMO INDONESIA</t>
        </is>
      </c>
      <c r="F105" t="inlineStr"/>
      <c r="G105" t="inlineStr">
        <is>
          <t>7.26.00950</t>
        </is>
      </c>
      <c r="H105" t="inlineStr">
        <is>
          <t>Leads</t>
        </is>
      </c>
      <c r="I105" t="n">
        <v>0</v>
      </c>
      <c r="J105" t="n">
        <v>114</v>
      </c>
      <c r="K105" t="inlineStr">
        <is>
          <t>Reach Truck 1.5 Ton (1 Unit) _ 1 Tahun _ Canvassing awal &amp; Sales Call</t>
        </is>
      </c>
    </row>
    <row r="106">
      <c r="A106" t="inlineStr">
        <is>
          <t>Fuji</t>
        </is>
      </c>
      <c r="B106" t="inlineStr"/>
      <c r="C106" t="inlineStr">
        <is>
          <t>Ravico</t>
        </is>
      </c>
      <c r="D106" t="inlineStr">
        <is>
          <t>TOYOSEAL</t>
        </is>
      </c>
      <c r="E106" t="inlineStr">
        <is>
          <t>TOYO SEAL INDONESIA</t>
        </is>
      </c>
      <c r="F106" t="inlineStr"/>
      <c r="G106" t="inlineStr">
        <is>
          <t>7.26.00951</t>
        </is>
      </c>
      <c r="H106" t="inlineStr">
        <is>
          <t>Leads</t>
        </is>
      </c>
      <c r="I106" t="n">
        <v>0</v>
      </c>
      <c r="J106" t="n">
        <v>114</v>
      </c>
      <c r="K106" t="inlineStr">
        <is>
          <t>Reach Truck 1.5 Ton (1 Unit) _ 1 Tahun _ Canvassing awal &amp; Sales Call</t>
        </is>
      </c>
    </row>
    <row r="107">
      <c r="A107" t="inlineStr">
        <is>
          <t>Fuji</t>
        </is>
      </c>
      <c r="B107" t="inlineStr"/>
      <c r="C107" t="inlineStr">
        <is>
          <t>Ravico</t>
        </is>
      </c>
      <c r="D107" t="inlineStr">
        <is>
          <t>TOYODEN</t>
        </is>
      </c>
      <c r="E107" t="inlineStr">
        <is>
          <t>TOYO DENSO INDONESIA</t>
        </is>
      </c>
      <c r="F107" t="inlineStr"/>
      <c r="G107" t="inlineStr">
        <is>
          <t>7.26.00952</t>
        </is>
      </c>
      <c r="H107" t="inlineStr">
        <is>
          <t>Leads</t>
        </is>
      </c>
      <c r="I107" t="n">
        <v>0</v>
      </c>
      <c r="J107" t="n">
        <v>114</v>
      </c>
      <c r="K107" t="inlineStr">
        <is>
          <t>Reach Truck 1.5 Ton (1 Unit) _ 1 Tahun _ Canvassing awal &amp; Sales Call</t>
        </is>
      </c>
    </row>
    <row r="108">
      <c r="A108" t="inlineStr">
        <is>
          <t>Fuji</t>
        </is>
      </c>
      <c r="B108" t="inlineStr"/>
      <c r="C108" t="inlineStr">
        <is>
          <t>Ravico</t>
        </is>
      </c>
      <c r="D108" t="inlineStr">
        <is>
          <t>TOPTUBEID</t>
        </is>
      </c>
      <c r="E108" t="inlineStr">
        <is>
          <t>TOP TUBE INDONESIA</t>
        </is>
      </c>
      <c r="F108" t="inlineStr">
        <is>
          <t>S</t>
        </is>
      </c>
      <c r="G108" t="inlineStr">
        <is>
          <t>7.26.00958</t>
        </is>
      </c>
      <c r="H108" t="inlineStr">
        <is>
          <t>Leads</t>
        </is>
      </c>
      <c r="I108" t="n">
        <v>0</v>
      </c>
      <c r="J108" t="n">
        <v>114</v>
      </c>
      <c r="K108" t="inlineStr">
        <is>
          <t>Reach Truck 1.5 Ton (1 Unit) _ 1 Tahun _ Canvassing awal &amp; Sales Call</t>
        </is>
      </c>
    </row>
    <row r="109">
      <c r="A109" t="inlineStr">
        <is>
          <t>Fuji</t>
        </is>
      </c>
      <c r="B109" t="inlineStr"/>
      <c r="C109" t="inlineStr">
        <is>
          <t>Ravico</t>
        </is>
      </c>
      <c r="D109" t="inlineStr">
        <is>
          <t>TMK</t>
        </is>
      </c>
      <c r="E109" t="inlineStr">
        <is>
          <t>TRISTAR MAKMUR KARTONINDO</t>
        </is>
      </c>
      <c r="F109" t="inlineStr"/>
      <c r="G109" t="inlineStr">
        <is>
          <t>7.26.00963</t>
        </is>
      </c>
      <c r="H109" t="inlineStr">
        <is>
          <t>Leads</t>
        </is>
      </c>
      <c r="I109" t="n">
        <v>0</v>
      </c>
      <c r="J109" t="n">
        <v>114</v>
      </c>
      <c r="K109" t="inlineStr">
        <is>
          <t>Reach Truck 1.5 Ton (1 Unit) _ 1 Tahun _ Canvassing awal &amp; Sales Call</t>
        </is>
      </c>
    </row>
    <row r="110">
      <c r="A110" t="inlineStr">
        <is>
          <t>Fuji</t>
        </is>
      </c>
      <c r="B110" t="inlineStr"/>
      <c r="C110" t="inlineStr">
        <is>
          <t>Ravico</t>
        </is>
      </c>
      <c r="D110" t="inlineStr">
        <is>
          <t>TMIA</t>
        </is>
      </c>
      <c r="E110" t="inlineStr">
        <is>
          <t>TPI MANUFACTURING INDONESIA</t>
        </is>
      </c>
      <c r="F110" t="inlineStr"/>
      <c r="G110" t="inlineStr">
        <is>
          <t>7.26.00964</t>
        </is>
      </c>
      <c r="H110" t="inlineStr">
        <is>
          <t>Leads</t>
        </is>
      </c>
      <c r="I110" t="n">
        <v>0</v>
      </c>
      <c r="J110" t="n">
        <v>114</v>
      </c>
      <c r="K110" t="inlineStr">
        <is>
          <t>Reach Truck 1.5 Ton (1 Unit) _ 1 Tahun _ Canvassing awal &amp; Sales Call</t>
        </is>
      </c>
    </row>
    <row r="111">
      <c r="A111" t="inlineStr">
        <is>
          <t>Fuji</t>
        </is>
      </c>
      <c r="B111" t="inlineStr"/>
      <c r="C111" t="inlineStr">
        <is>
          <t>Ravico</t>
        </is>
      </c>
      <c r="D111" t="inlineStr">
        <is>
          <t>SYNRUBID</t>
        </is>
      </c>
      <c r="E111" t="inlineStr">
        <is>
          <t>SYNTHETIC RUBBER INDONESIA</t>
        </is>
      </c>
      <c r="F111" t="inlineStr">
        <is>
          <t>S</t>
        </is>
      </c>
      <c r="G111" t="inlineStr">
        <is>
          <t>7.26.00982</t>
        </is>
      </c>
      <c r="H111" t="inlineStr">
        <is>
          <t>Leads</t>
        </is>
      </c>
      <c r="I111" t="n">
        <v>0</v>
      </c>
      <c r="J111" t="n">
        <v>114</v>
      </c>
      <c r="K111" t="inlineStr">
        <is>
          <t>Reach Truck 1.5 Ton (1 Unit) _ 1 Tahun _ Canvassing awal &amp; Sales Call</t>
        </is>
      </c>
    </row>
    <row r="112">
      <c r="A112" t="inlineStr">
        <is>
          <t>Fuji</t>
        </is>
      </c>
      <c r="B112" t="inlineStr"/>
      <c r="C112" t="inlineStr">
        <is>
          <t>Ravico</t>
        </is>
      </c>
      <c r="D112" t="inlineStr">
        <is>
          <t>SWEETINDO</t>
        </is>
      </c>
      <c r="E112" t="inlineStr">
        <is>
          <t>SWEETINDO PERKASA</t>
        </is>
      </c>
      <c r="F112" t="inlineStr">
        <is>
          <t>S</t>
        </is>
      </c>
      <c r="G112" t="inlineStr">
        <is>
          <t>7.26.00983</t>
        </is>
      </c>
      <c r="H112" t="inlineStr">
        <is>
          <t>Leads</t>
        </is>
      </c>
      <c r="I112" t="n">
        <v>0</v>
      </c>
      <c r="J112" t="n">
        <v>114</v>
      </c>
      <c r="K112" t="inlineStr">
        <is>
          <t>Reach Truck 1.5 Ton (1 Unit) _ 1 Tahun _ Canvassing awal &amp; Sales Call</t>
        </is>
      </c>
    </row>
    <row r="113">
      <c r="A113" t="inlineStr">
        <is>
          <t>Fuji</t>
        </is>
      </c>
      <c r="B113" t="inlineStr"/>
      <c r="C113" t="inlineStr">
        <is>
          <t>Ravico</t>
        </is>
      </c>
      <c r="D113" t="inlineStr">
        <is>
          <t>SURVEYOR</t>
        </is>
      </c>
      <c r="E113" t="inlineStr">
        <is>
          <t>SURVEYOR INDONESIA</t>
        </is>
      </c>
      <c r="F113" t="inlineStr"/>
      <c r="G113" t="inlineStr">
        <is>
          <t>7.26.00985</t>
        </is>
      </c>
      <c r="H113" t="inlineStr">
        <is>
          <t>Leads</t>
        </is>
      </c>
      <c r="I113" t="n">
        <v>0</v>
      </c>
      <c r="J113" t="n">
        <v>114</v>
      </c>
      <c r="K113" t="inlineStr">
        <is>
          <t>Reach Truck 1.5 Ton (1 Unit) _ 1 Tahun _ Canvassing awal &amp; Sales Call</t>
        </is>
      </c>
    </row>
    <row r="114">
      <c r="A114" t="inlineStr">
        <is>
          <t>Fuji</t>
        </is>
      </c>
      <c r="B114" t="inlineStr"/>
      <c r="C114" t="inlineStr">
        <is>
          <t>Ravico</t>
        </is>
      </c>
      <c r="D114" t="inlineStr">
        <is>
          <t>SURJAIND</t>
        </is>
      </c>
      <c r="E114" t="inlineStr">
        <is>
          <t>SURYA FAJAR INDONESIA</t>
        </is>
      </c>
      <c r="F114" t="inlineStr">
        <is>
          <t>S</t>
        </is>
      </c>
      <c r="G114" t="inlineStr">
        <is>
          <t>7.26.00986</t>
        </is>
      </c>
      <c r="H114" t="inlineStr">
        <is>
          <t>Leads</t>
        </is>
      </c>
      <c r="I114" t="n">
        <v>0</v>
      </c>
      <c r="J114" t="n">
        <v>114</v>
      </c>
      <c r="K114" t="inlineStr">
        <is>
          <t>Reach Truck 1.5 Ton (1 Unit) _ 1 Tahun _ Canvassing awal &amp; Sales Call</t>
        </is>
      </c>
    </row>
    <row r="115">
      <c r="A115" t="inlineStr">
        <is>
          <t>Fuji</t>
        </is>
      </c>
      <c r="B115" t="inlineStr"/>
      <c r="C115" t="inlineStr">
        <is>
          <t>Ravico</t>
        </is>
      </c>
      <c r="D115" t="inlineStr">
        <is>
          <t>SUPERSTEEL</t>
        </is>
      </c>
      <c r="E115" t="inlineStr">
        <is>
          <t>SUPER STEEL INDAH</t>
        </is>
      </c>
      <c r="F115" t="inlineStr"/>
      <c r="G115" t="inlineStr">
        <is>
          <t>7.26.00987</t>
        </is>
      </c>
      <c r="H115" t="inlineStr">
        <is>
          <t>Leads</t>
        </is>
      </c>
      <c r="I115" t="n">
        <v>0</v>
      </c>
      <c r="J115" t="n">
        <v>114</v>
      </c>
      <c r="K115" t="inlineStr">
        <is>
          <t>Reach Truck 1.5 Ton (1 Unit) _ 1 Tahun _ Canvassing awal &amp; Sales Call</t>
        </is>
      </c>
    </row>
    <row r="116">
      <c r="A116" t="inlineStr">
        <is>
          <t>Fuji</t>
        </is>
      </c>
      <c r="B116" t="inlineStr"/>
      <c r="C116" t="inlineStr">
        <is>
          <t>Ravico</t>
        </is>
      </c>
      <c r="D116" t="inlineStr">
        <is>
          <t>SUMCOID</t>
        </is>
      </c>
      <c r="E116" t="inlineStr">
        <is>
          <t>SUMCO INDONESIA</t>
        </is>
      </c>
      <c r="F116" t="inlineStr">
        <is>
          <t>S</t>
        </is>
      </c>
      <c r="G116" t="inlineStr">
        <is>
          <t>7.26.00990</t>
        </is>
      </c>
      <c r="H116" t="inlineStr">
        <is>
          <t>Leads</t>
        </is>
      </c>
      <c r="I116" t="n">
        <v>0</v>
      </c>
      <c r="J116" t="n">
        <v>114</v>
      </c>
      <c r="K116" t="inlineStr">
        <is>
          <t>Reach Truck 1.5 Ton (1 Unit) _ 1 Tahun _ Canvassing awal &amp; Sales Call</t>
        </is>
      </c>
    </row>
    <row r="117">
      <c r="A117" t="inlineStr">
        <is>
          <t>Fuji</t>
        </is>
      </c>
      <c r="B117" t="inlineStr"/>
      <c r="C117" t="inlineStr">
        <is>
          <t>Ravico</t>
        </is>
      </c>
      <c r="D117" t="inlineStr">
        <is>
          <t>SPI</t>
        </is>
      </c>
      <c r="E117" t="inlineStr">
        <is>
          <t>SHINWA PACKAGE INDONESIA</t>
        </is>
      </c>
      <c r="F117" t="inlineStr"/>
      <c r="G117" t="inlineStr">
        <is>
          <t>7.26.00996</t>
        </is>
      </c>
      <c r="H117" t="inlineStr">
        <is>
          <t>Leads</t>
        </is>
      </c>
      <c r="I117" t="n">
        <v>0</v>
      </c>
      <c r="J117" t="n">
        <v>114</v>
      </c>
      <c r="K117" t="inlineStr">
        <is>
          <t>Reach Truck 1.5 Ton (1 Unit) _ 1 Tahun _ Canvassing awal &amp; Sales Call</t>
        </is>
      </c>
    </row>
    <row r="118">
      <c r="A118" t="inlineStr">
        <is>
          <t>Fuji</t>
        </is>
      </c>
      <c r="B118" t="inlineStr"/>
      <c r="C118" t="inlineStr">
        <is>
          <t>Ravico</t>
        </is>
      </c>
      <c r="D118" t="inlineStr">
        <is>
          <t>SPEKTRUM</t>
        </is>
      </c>
      <c r="E118" t="inlineStr">
        <is>
          <t>SPEKTRUM KRISINDO ELEKTRIKA</t>
        </is>
      </c>
      <c r="F118" t="inlineStr"/>
      <c r="G118" t="inlineStr">
        <is>
          <t>7.26.00997</t>
        </is>
      </c>
      <c r="H118" t="inlineStr">
        <is>
          <t>Leads</t>
        </is>
      </c>
      <c r="I118" t="n">
        <v>0</v>
      </c>
      <c r="J118" t="n">
        <v>114</v>
      </c>
      <c r="K118" t="inlineStr">
        <is>
          <t>Reach Truck 1.5 Ton (1 Unit) _ 1 Tahun _ Canvassing awal &amp; Sales Call</t>
        </is>
      </c>
    </row>
    <row r="119">
      <c r="A119" t="inlineStr">
        <is>
          <t>Fuji</t>
        </is>
      </c>
      <c r="B119" t="inlineStr"/>
      <c r="C119" t="inlineStr">
        <is>
          <t>Ravico</t>
        </is>
      </c>
      <c r="D119" t="inlineStr">
        <is>
          <t>SOLMITSEJ</t>
        </is>
      </c>
      <c r="E119" t="inlineStr">
        <is>
          <t>SOLUSINDO MITRA SEJAHTERA</t>
        </is>
      </c>
      <c r="F119" t="inlineStr"/>
      <c r="G119" t="inlineStr">
        <is>
          <t>7.26.01002</t>
        </is>
      </c>
      <c r="H119" t="inlineStr">
        <is>
          <t>Leads</t>
        </is>
      </c>
      <c r="I119" t="n">
        <v>0</v>
      </c>
      <c r="J119" t="n">
        <v>114</v>
      </c>
      <c r="K119" t="inlineStr">
        <is>
          <t>Reach Truck 1.5 Ton (1 Unit) _ 1 Tahun _ Canvassing awal &amp; Sales Call</t>
        </is>
      </c>
    </row>
    <row r="120">
      <c r="A120" t="inlineStr">
        <is>
          <t>Fuji</t>
        </is>
      </c>
      <c r="B120" t="inlineStr"/>
      <c r="C120" t="inlineStr">
        <is>
          <t>Ravico</t>
        </is>
      </c>
      <c r="D120" t="inlineStr">
        <is>
          <t>SMI</t>
        </is>
      </c>
      <c r="E120" t="inlineStr">
        <is>
          <t>SAMICK INDONESIA</t>
        </is>
      </c>
      <c r="F120" t="inlineStr"/>
      <c r="G120" t="inlineStr">
        <is>
          <t>7.26.01007</t>
        </is>
      </c>
      <c r="H120" t="inlineStr">
        <is>
          <t>Leads</t>
        </is>
      </c>
      <c r="I120" t="n">
        <v>0</v>
      </c>
      <c r="J120" t="n">
        <v>114</v>
      </c>
      <c r="K120" t="inlineStr">
        <is>
          <t>Reach Truck 1.5 Ton (1 Unit) _ 1 Tahun _ Canvassing awal &amp; Sales Call</t>
        </is>
      </c>
    </row>
    <row r="121">
      <c r="A121" t="inlineStr">
        <is>
          <t>Fuji</t>
        </is>
      </c>
      <c r="B121" t="inlineStr"/>
      <c r="C121" t="inlineStr">
        <is>
          <t>Ravico</t>
        </is>
      </c>
      <c r="D121" t="inlineStr">
        <is>
          <t>SINOTRANS</t>
        </is>
      </c>
      <c r="E121" t="inlineStr">
        <is>
          <t>SINOTRANS OVERSEAS INDONESIA</t>
        </is>
      </c>
      <c r="F121" t="inlineStr">
        <is>
          <t>M</t>
        </is>
      </c>
      <c r="G121" t="inlineStr">
        <is>
          <t>7.26.01015</t>
        </is>
      </c>
      <c r="H121" t="inlineStr">
        <is>
          <t>Leads</t>
        </is>
      </c>
      <c r="I121" t="n">
        <v>0</v>
      </c>
      <c r="J121" t="n">
        <v>114</v>
      </c>
      <c r="K121" t="inlineStr">
        <is>
          <t>Reach Truck 1.5 Ton (1 Unit) _ 1 Tahun _ Canvassing awal &amp; Sales Call</t>
        </is>
      </c>
    </row>
    <row r="122">
      <c r="A122" t="inlineStr">
        <is>
          <t>Fuji</t>
        </is>
      </c>
      <c r="B122" t="inlineStr"/>
      <c r="C122" t="inlineStr">
        <is>
          <t>Ravico</t>
        </is>
      </c>
      <c r="D122" t="inlineStr">
        <is>
          <t>SINA</t>
        </is>
      </c>
      <c r="E122" t="inlineStr">
        <is>
          <t>SUGIYAMA INDONESIA</t>
        </is>
      </c>
      <c r="F122" t="inlineStr"/>
      <c r="G122" t="inlineStr">
        <is>
          <t>7.26.01017</t>
        </is>
      </c>
      <c r="H122" t="inlineStr">
        <is>
          <t>Leads</t>
        </is>
      </c>
      <c r="I122" t="n">
        <v>0</v>
      </c>
      <c r="J122" t="n">
        <v>114</v>
      </c>
      <c r="K122" t="inlineStr">
        <is>
          <t>Reach Truck 1.5 Ton (1 Unit) _ 1 Tahun _ Canvassing awal &amp; Sales Call</t>
        </is>
      </c>
    </row>
    <row r="123">
      <c r="A123" t="inlineStr">
        <is>
          <t>Fuji</t>
        </is>
      </c>
      <c r="B123" t="inlineStr"/>
      <c r="C123" t="inlineStr">
        <is>
          <t>Ravico</t>
        </is>
      </c>
      <c r="D123" t="inlineStr">
        <is>
          <t>SID</t>
        </is>
      </c>
      <c r="E123" t="inlineStr">
        <is>
          <t>SEMEN INDONESIA DISTRIBUTOR</t>
        </is>
      </c>
      <c r="F123" t="inlineStr">
        <is>
          <t>L</t>
        </is>
      </c>
      <c r="G123" t="inlineStr">
        <is>
          <t>7.26.01019</t>
        </is>
      </c>
      <c r="H123" t="inlineStr">
        <is>
          <t>Leads</t>
        </is>
      </c>
      <c r="I123" t="n">
        <v>0</v>
      </c>
      <c r="J123" t="n">
        <v>114</v>
      </c>
      <c r="K123" t="inlineStr">
        <is>
          <t>Reach Truck 1.5 Ton (1 Unit) _ 1 Tahun _ Canvassing awal &amp; Sales Call</t>
        </is>
      </c>
    </row>
    <row r="124">
      <c r="A124" t="inlineStr">
        <is>
          <t>Fuji</t>
        </is>
      </c>
      <c r="B124" t="inlineStr"/>
      <c r="C124" t="inlineStr">
        <is>
          <t>Ravico</t>
        </is>
      </c>
      <c r="D124" t="inlineStr">
        <is>
          <t>SHOWA</t>
        </is>
      </c>
      <c r="E124" t="inlineStr">
        <is>
          <t>SHOWA KOSAN INDONESIA</t>
        </is>
      </c>
      <c r="F124" t="inlineStr"/>
      <c r="G124" t="inlineStr">
        <is>
          <t>7.26.01023</t>
        </is>
      </c>
      <c r="H124" t="inlineStr">
        <is>
          <t>Leads</t>
        </is>
      </c>
      <c r="I124" t="n">
        <v>0</v>
      </c>
      <c r="J124" t="n">
        <v>114</v>
      </c>
      <c r="K124" t="inlineStr">
        <is>
          <t>Reach Truck 1.5 Ton (1 Unit) _ 1 Tahun _ Canvassing awal &amp; Sales Call</t>
        </is>
      </c>
    </row>
    <row r="125">
      <c r="A125" t="inlineStr">
        <is>
          <t>Fuji</t>
        </is>
      </c>
      <c r="B125" t="inlineStr"/>
      <c r="C125" t="inlineStr">
        <is>
          <t>Ravico</t>
        </is>
      </c>
      <c r="D125" t="inlineStr">
        <is>
          <t>SHINKOGIND</t>
        </is>
      </c>
      <c r="E125" t="inlineStr">
        <is>
          <t>SHINTO KOGYO INDONESIA</t>
        </is>
      </c>
      <c r="F125" t="inlineStr"/>
      <c r="G125" t="inlineStr">
        <is>
          <t>7.26.01026</t>
        </is>
      </c>
      <c r="H125" t="inlineStr">
        <is>
          <t>Leads</t>
        </is>
      </c>
      <c r="I125" t="n">
        <v>0</v>
      </c>
      <c r="J125" t="n">
        <v>114</v>
      </c>
      <c r="K125" t="inlineStr">
        <is>
          <t>Reach Truck 1.5 Ton (1 Unit) _ 1 Tahun _ Canvassing awal &amp; Sales Call</t>
        </is>
      </c>
    </row>
    <row r="126">
      <c r="A126" t="inlineStr">
        <is>
          <t>Fuji</t>
        </is>
      </c>
      <c r="B126" t="inlineStr"/>
      <c r="C126" t="inlineStr">
        <is>
          <t>Ravico</t>
        </is>
      </c>
      <c r="D126" t="inlineStr">
        <is>
          <t>SHING</t>
        </is>
      </c>
      <c r="E126" t="inlineStr">
        <is>
          <t>SHINANOA INDONESIA</t>
        </is>
      </c>
      <c r="F126" t="inlineStr"/>
      <c r="G126" t="inlineStr">
        <is>
          <t>7.26.01027</t>
        </is>
      </c>
      <c r="H126" t="inlineStr">
        <is>
          <t>Leads</t>
        </is>
      </c>
      <c r="I126" t="n">
        <v>0</v>
      </c>
      <c r="J126" t="n">
        <v>114</v>
      </c>
      <c r="K126" t="inlineStr">
        <is>
          <t>Reach Truck 1.5 Ton (1 Unit) _ 1 Tahun _ Canvassing awal &amp; Sales Call</t>
        </is>
      </c>
    </row>
    <row r="127">
      <c r="A127" t="inlineStr">
        <is>
          <t>Fuji</t>
        </is>
      </c>
      <c r="B127" t="inlineStr"/>
      <c r="C127" t="inlineStr">
        <is>
          <t>Ravico</t>
        </is>
      </c>
      <c r="D127" t="inlineStr">
        <is>
          <t>SEKAR</t>
        </is>
      </c>
      <c r="E127" t="inlineStr">
        <is>
          <t>SEKAR GOLDEN HARVESTA INDONESIA</t>
        </is>
      </c>
      <c r="F127" t="inlineStr">
        <is>
          <t>L</t>
        </is>
      </c>
      <c r="G127" t="inlineStr">
        <is>
          <t>7.26.01039</t>
        </is>
      </c>
      <c r="H127" t="inlineStr">
        <is>
          <t>Leads</t>
        </is>
      </c>
      <c r="I127" t="n">
        <v>0</v>
      </c>
      <c r="J127" t="n">
        <v>114</v>
      </c>
      <c r="K127" t="inlineStr">
        <is>
          <t>Reach Truck 1.5 Ton (1 Unit) _ 1 Tahun _ Canvassing awal &amp; Sales Call</t>
        </is>
      </c>
    </row>
    <row r="128">
      <c r="A128" t="inlineStr">
        <is>
          <t>Fuji</t>
        </is>
      </c>
      <c r="B128" t="inlineStr"/>
      <c r="C128" t="inlineStr">
        <is>
          <t>Ravico</t>
        </is>
      </c>
      <c r="D128" t="inlineStr">
        <is>
          <t>SCIND</t>
        </is>
      </c>
      <c r="E128" t="inlineStr">
        <is>
          <t>PT SICER INDONESIA</t>
        </is>
      </c>
      <c r="F128" t="inlineStr">
        <is>
          <t>S</t>
        </is>
      </c>
      <c r="G128" t="inlineStr">
        <is>
          <t>7.26.01050</t>
        </is>
      </c>
      <c r="H128" t="inlineStr">
        <is>
          <t>Leads</t>
        </is>
      </c>
      <c r="I128" t="n">
        <v>0</v>
      </c>
      <c r="J128" t="n">
        <v>114</v>
      </c>
      <c r="K128" t="inlineStr">
        <is>
          <t>Reach Truck 1.5 Ton (1 Unit) _ 1 Tahun _ Canvassing awal &amp; Sales Call</t>
        </is>
      </c>
    </row>
    <row r="129">
      <c r="A129" t="inlineStr">
        <is>
          <t>Fuji</t>
        </is>
      </c>
      <c r="B129" t="inlineStr"/>
      <c r="C129" t="inlineStr">
        <is>
          <t>Ravico</t>
        </is>
      </c>
      <c r="D129" t="inlineStr">
        <is>
          <t>SCGINDONES</t>
        </is>
      </c>
      <c r="E129" t="inlineStr">
        <is>
          <t>SCG READYMIX INDONESIA</t>
        </is>
      </c>
      <c r="F129" t="inlineStr"/>
      <c r="G129" t="inlineStr">
        <is>
          <t>7.26.01054</t>
        </is>
      </c>
      <c r="H129" t="inlineStr">
        <is>
          <t>Leads</t>
        </is>
      </c>
      <c r="I129" t="n">
        <v>0</v>
      </c>
      <c r="J129" t="n">
        <v>114</v>
      </c>
      <c r="K129" t="inlineStr">
        <is>
          <t>Reach Truck 1.5 Ton (1 Unit) _ 1 Tahun _ Canvassing awal &amp; Sales Call</t>
        </is>
      </c>
    </row>
    <row r="130">
      <c r="A130" t="inlineStr">
        <is>
          <t>Fuji</t>
        </is>
      </c>
      <c r="B130" t="inlineStr"/>
      <c r="C130" t="inlineStr">
        <is>
          <t>Ravico</t>
        </is>
      </c>
      <c r="D130" t="inlineStr">
        <is>
          <t>SBSA</t>
        </is>
      </c>
      <c r="E130" t="inlineStr">
        <is>
          <t>SINDE BUDI SENTOSA</t>
        </is>
      </c>
      <c r="F130" t="inlineStr"/>
      <c r="G130" t="inlineStr">
        <is>
          <t>7.26.01056</t>
        </is>
      </c>
      <c r="H130" t="inlineStr">
        <is>
          <t>Leads</t>
        </is>
      </c>
      <c r="I130" t="n">
        <v>0</v>
      </c>
      <c r="J130" t="n">
        <v>114</v>
      </c>
      <c r="K130" t="inlineStr">
        <is>
          <t>Reach Truck 1.5 Ton (1 Unit) _ 1 Tahun _ Canvassing awal &amp; Sales Call</t>
        </is>
      </c>
    </row>
    <row r="131">
      <c r="A131" t="inlineStr">
        <is>
          <t>Fuji</t>
        </is>
      </c>
      <c r="B131" t="inlineStr"/>
      <c r="C131" t="inlineStr">
        <is>
          <t>Ravico</t>
        </is>
      </c>
      <c r="D131" t="inlineStr">
        <is>
          <t>SANBEFARMA</t>
        </is>
      </c>
      <c r="E131" t="inlineStr">
        <is>
          <t>GRAHA RENINDO</t>
        </is>
      </c>
      <c r="F131" t="inlineStr">
        <is>
          <t>S</t>
        </is>
      </c>
      <c r="G131" t="inlineStr">
        <is>
          <t>7.26.01063</t>
        </is>
      </c>
      <c r="H131" t="inlineStr">
        <is>
          <t>Leads</t>
        </is>
      </c>
      <c r="I131" t="n">
        <v>0</v>
      </c>
      <c r="J131" t="n">
        <v>114</v>
      </c>
      <c r="K131" t="inlineStr">
        <is>
          <t>Reach Truck 1.5 Ton (1 Unit) _ 1 Tahun _ Canvassing awal &amp; Sales Call</t>
        </is>
      </c>
    </row>
    <row r="132">
      <c r="A132" t="inlineStr">
        <is>
          <t>Fuji</t>
        </is>
      </c>
      <c r="B132" t="inlineStr"/>
      <c r="C132" t="inlineStr">
        <is>
          <t>Ravico</t>
        </is>
      </c>
      <c r="D132" t="inlineStr">
        <is>
          <t>RUSKYAERO</t>
        </is>
      </c>
      <c r="E132" t="inlineStr">
        <is>
          <t>RUSKY AERO INDONESIA</t>
        </is>
      </c>
      <c r="F132" t="inlineStr"/>
      <c r="G132" t="inlineStr">
        <is>
          <t>7.26.01070</t>
        </is>
      </c>
      <c r="H132" t="inlineStr">
        <is>
          <t>Leads</t>
        </is>
      </c>
      <c r="I132" t="n">
        <v>0</v>
      </c>
      <c r="J132" t="n">
        <v>114</v>
      </c>
      <c r="K132" t="inlineStr">
        <is>
          <t>Reach Truck 1.5 Ton (1 Unit) _ 1 Tahun _ Canvassing awal &amp; Sales Call</t>
        </is>
      </c>
    </row>
    <row r="133">
      <c r="A133" t="inlineStr">
        <is>
          <t>Fuji</t>
        </is>
      </c>
      <c r="B133" t="inlineStr"/>
      <c r="C133" t="inlineStr">
        <is>
          <t>Ravico</t>
        </is>
      </c>
      <c r="D133" t="inlineStr">
        <is>
          <t>ROYNASIA</t>
        </is>
      </c>
      <c r="E133" t="inlineStr">
        <is>
          <t>ROYAL PESONA INDONESIA</t>
        </is>
      </c>
      <c r="F133" t="inlineStr">
        <is>
          <t>M</t>
        </is>
      </c>
      <c r="G133" t="inlineStr">
        <is>
          <t>7.26.01075</t>
        </is>
      </c>
      <c r="H133" t="inlineStr">
        <is>
          <t>Leads</t>
        </is>
      </c>
      <c r="I133" t="n">
        <v>0</v>
      </c>
      <c r="J133" t="n">
        <v>114</v>
      </c>
      <c r="K133" t="inlineStr">
        <is>
          <t>Reach Truck 1.5 Ton (1 Unit) _ 1 Tahun _ Canvassing awal &amp; Sales Call</t>
        </is>
      </c>
    </row>
    <row r="134">
      <c r="A134" t="inlineStr">
        <is>
          <t>Fuji</t>
        </is>
      </c>
      <c r="B134" t="inlineStr"/>
      <c r="C134" t="inlineStr">
        <is>
          <t>Ravico</t>
        </is>
      </c>
      <c r="D134" t="inlineStr">
        <is>
          <t>ROYALCANIN</t>
        </is>
      </c>
      <c r="E134" t="inlineStr">
        <is>
          <t>PT ROYAL CANIN INDONESIA</t>
        </is>
      </c>
      <c r="F134" t="inlineStr">
        <is>
          <t>S</t>
        </is>
      </c>
      <c r="G134" t="inlineStr">
        <is>
          <t>7.26.01076</t>
        </is>
      </c>
      <c r="H134" t="inlineStr">
        <is>
          <t>Leads</t>
        </is>
      </c>
      <c r="I134" t="n">
        <v>0</v>
      </c>
      <c r="J134" t="n">
        <v>114</v>
      </c>
      <c r="K134" t="inlineStr">
        <is>
          <t>Reach Truck 1.5 Ton (1 Unit) _ 1 Tahun _ Canvassing awal &amp; Sales Call</t>
        </is>
      </c>
    </row>
    <row r="135">
      <c r="A135" t="inlineStr">
        <is>
          <t>Fuji</t>
        </is>
      </c>
      <c r="B135" t="inlineStr"/>
      <c r="C135" t="inlineStr">
        <is>
          <t>Ravico</t>
        </is>
      </c>
      <c r="D135" t="inlineStr">
        <is>
          <t>ROIND</t>
        </is>
      </c>
      <c r="E135" t="inlineStr">
        <is>
          <t>ROCHE INDONESIA</t>
        </is>
      </c>
      <c r="F135" t="inlineStr"/>
      <c r="G135" t="inlineStr">
        <is>
          <t>7.26.01079</t>
        </is>
      </c>
      <c r="H135" t="inlineStr">
        <is>
          <t>Leads</t>
        </is>
      </c>
      <c r="I135" t="n">
        <v>0</v>
      </c>
      <c r="J135" t="n">
        <v>114</v>
      </c>
      <c r="K135" t="inlineStr">
        <is>
          <t>Reach Truck 1.5 Ton (1 Unit) _ 1 Tahun _ Canvassing awal &amp; Sales Call</t>
        </is>
      </c>
    </row>
    <row r="136">
      <c r="A136" t="inlineStr">
        <is>
          <t>Fuji</t>
        </is>
      </c>
      <c r="B136" t="inlineStr"/>
      <c r="C136" t="inlineStr">
        <is>
          <t>Ravico</t>
        </is>
      </c>
      <c r="D136" t="inlineStr">
        <is>
          <t>RINNAI</t>
        </is>
      </c>
      <c r="E136" t="inlineStr">
        <is>
          <t>RINNAI INDONESIA</t>
        </is>
      </c>
      <c r="F136" t="inlineStr">
        <is>
          <t>M</t>
        </is>
      </c>
      <c r="G136" t="inlineStr">
        <is>
          <t>7.26.01085</t>
        </is>
      </c>
      <c r="H136" t="inlineStr">
        <is>
          <t>Leads</t>
        </is>
      </c>
      <c r="I136" t="n">
        <v>0</v>
      </c>
      <c r="J136" t="n">
        <v>114</v>
      </c>
      <c r="K136" t="inlineStr">
        <is>
          <t>Reach Truck 1.5 Ton (1 Unit) _ 1 Tahun _ Canvassing awal &amp; Sales Call</t>
        </is>
      </c>
    </row>
    <row r="137">
      <c r="A137" t="inlineStr">
        <is>
          <t>Fuji</t>
        </is>
      </c>
      <c r="B137" t="inlineStr"/>
      <c r="C137" t="inlineStr">
        <is>
          <t>Ravico</t>
        </is>
      </c>
      <c r="D137" t="inlineStr">
        <is>
          <t>RIAINDO</t>
        </is>
      </c>
      <c r="E137" t="inlineStr">
        <is>
          <t>PT RIA INDO AGRI</t>
        </is>
      </c>
      <c r="F137" t="inlineStr">
        <is>
          <t>M</t>
        </is>
      </c>
      <c r="G137" t="inlineStr">
        <is>
          <t>7.26.01087</t>
        </is>
      </c>
      <c r="H137" t="inlineStr">
        <is>
          <t>Prospect</t>
        </is>
      </c>
      <c r="I137" t="n">
        <v>78</v>
      </c>
      <c r="J137" t="n">
        <v>258</v>
      </c>
      <c r="K137" t="inlineStr">
        <is>
          <t>Forklift 3 Ton (2 Unit) _ 2 Tahun _ SPH Dikirim ke User</t>
        </is>
      </c>
    </row>
    <row r="138">
      <c r="A138" t="inlineStr">
        <is>
          <t>Fuji</t>
        </is>
      </c>
      <c r="B138" t="inlineStr"/>
      <c r="C138" t="inlineStr">
        <is>
          <t>Ravico</t>
        </is>
      </c>
      <c r="D138" t="inlineStr">
        <is>
          <t>RIABUSANA</t>
        </is>
      </c>
      <c r="E138" t="inlineStr">
        <is>
          <t>PT RIA INDAH MANDIRI</t>
        </is>
      </c>
      <c r="F138" t="inlineStr">
        <is>
          <t>S</t>
        </is>
      </c>
      <c r="G138" t="inlineStr">
        <is>
          <t>7.26.01088</t>
        </is>
      </c>
      <c r="H138" t="inlineStr">
        <is>
          <t>Leads</t>
        </is>
      </c>
      <c r="I138" t="n">
        <v>0</v>
      </c>
      <c r="J138" t="n">
        <v>114</v>
      </c>
      <c r="K138" t="inlineStr">
        <is>
          <t>Reach Truck 1.5 Ton (1 Unit) _ 1 Tahun _ Canvassing awal &amp; Sales Call</t>
        </is>
      </c>
    </row>
    <row r="139">
      <c r="A139" t="inlineStr">
        <is>
          <t>Fuji</t>
        </is>
      </c>
      <c r="B139" t="inlineStr"/>
      <c r="C139" t="inlineStr">
        <is>
          <t>Ravico</t>
        </is>
      </c>
      <c r="D139" t="inlineStr">
        <is>
          <t>PTSI</t>
        </is>
      </c>
      <c r="E139" t="inlineStr">
        <is>
          <t>PT PRECISION TOOLS SERVICE INDONESIA</t>
        </is>
      </c>
      <c r="F139" t="inlineStr">
        <is>
          <t>M</t>
        </is>
      </c>
      <c r="G139" t="inlineStr">
        <is>
          <t>7.26.01095</t>
        </is>
      </c>
      <c r="H139" t="inlineStr">
        <is>
          <t>Leads</t>
        </is>
      </c>
      <c r="I139" t="n">
        <v>0</v>
      </c>
      <c r="J139" t="n">
        <v>114</v>
      </c>
      <c r="K139" t="inlineStr">
        <is>
          <t>Reach Truck 1.5 Ton (1 Unit) _ 1 Tahun _ Canvassing awal &amp; Sales Call</t>
        </is>
      </c>
    </row>
    <row r="140">
      <c r="A140" t="inlineStr">
        <is>
          <t>Fuji</t>
        </is>
      </c>
      <c r="B140" t="inlineStr"/>
      <c r="C140" t="inlineStr">
        <is>
          <t>Ravico</t>
        </is>
      </c>
      <c r="D140" t="inlineStr">
        <is>
          <t>PTOI</t>
        </is>
      </c>
      <c r="E140" t="inlineStr">
        <is>
          <t>OTSUKA INDONESIA</t>
        </is>
      </c>
      <c r="F140" t="inlineStr"/>
      <c r="G140" t="inlineStr">
        <is>
          <t>7.26.01098</t>
        </is>
      </c>
      <c r="H140" t="inlineStr">
        <is>
          <t>Leads</t>
        </is>
      </c>
      <c r="I140" t="n">
        <v>0</v>
      </c>
      <c r="J140" t="n">
        <v>114</v>
      </c>
      <c r="K140" t="inlineStr">
        <is>
          <t>Reach Truck 1.5 Ton (1 Unit) _ 1 Tahun _ Canvassing awal &amp; Sales Call</t>
        </is>
      </c>
    </row>
    <row r="141">
      <c r="A141" t="inlineStr">
        <is>
          <t>Fuji</t>
        </is>
      </c>
      <c r="B141" t="inlineStr"/>
      <c r="C141" t="inlineStr">
        <is>
          <t>Ravico</t>
        </is>
      </c>
      <c r="D141" t="inlineStr">
        <is>
          <t>PROCTER</t>
        </is>
      </c>
      <c r="E141" t="inlineStr">
        <is>
          <t>PROCTER &amp; GAMBLE HOME PRODUCTS INDONESIA.</t>
        </is>
      </c>
      <c r="F141" t="inlineStr"/>
      <c r="G141" t="inlineStr">
        <is>
          <t>7.26.01101</t>
        </is>
      </c>
      <c r="H141" t="inlineStr">
        <is>
          <t>Leads</t>
        </is>
      </c>
      <c r="I141" t="n">
        <v>0</v>
      </c>
      <c r="J141" t="n">
        <v>114</v>
      </c>
      <c r="K141" t="inlineStr">
        <is>
          <t>Reach Truck 1.5 Ton (1 Unit) _ 1 Tahun _ Canvassing awal &amp; Sales Call</t>
        </is>
      </c>
    </row>
    <row r="142">
      <c r="A142" t="inlineStr">
        <is>
          <t>Fuji</t>
        </is>
      </c>
      <c r="B142" t="inlineStr"/>
      <c r="C142" t="inlineStr">
        <is>
          <t>Ravico</t>
        </is>
      </c>
      <c r="D142" t="inlineStr">
        <is>
          <t>PRIMAS</t>
        </is>
      </c>
      <c r="E142" t="inlineStr">
        <is>
          <t>PRIMA SEGAR INDOSARI</t>
        </is>
      </c>
      <c r="F142" t="inlineStr"/>
      <c r="G142" t="inlineStr">
        <is>
          <t>7.26.01105</t>
        </is>
      </c>
      <c r="H142" t="inlineStr">
        <is>
          <t>Leads</t>
        </is>
      </c>
      <c r="I142" t="n">
        <v>0</v>
      </c>
      <c r="J142" t="n">
        <v>114</v>
      </c>
      <c r="K142" t="inlineStr">
        <is>
          <t>Reach Truck 1.5 Ton (1 Unit) _ 1 Tahun _ Canvassing awal &amp; Sales Call</t>
        </is>
      </c>
    </row>
    <row r="143">
      <c r="A143" t="inlineStr">
        <is>
          <t>Fuji</t>
        </is>
      </c>
      <c r="B143" t="inlineStr"/>
      <c r="C143" t="inlineStr">
        <is>
          <t>Ravico</t>
        </is>
      </c>
      <c r="D143" t="inlineStr">
        <is>
          <t>POLYCHEM</t>
        </is>
      </c>
      <c r="E143" t="inlineStr">
        <is>
          <t>POLYCHEM INDONESIA</t>
        </is>
      </c>
      <c r="F143" t="inlineStr"/>
      <c r="G143" t="inlineStr">
        <is>
          <t>7.26.01110</t>
        </is>
      </c>
      <c r="H143" t="inlineStr">
        <is>
          <t>Leads</t>
        </is>
      </c>
      <c r="I143" t="n">
        <v>0</v>
      </c>
      <c r="J143" t="n">
        <v>114</v>
      </c>
      <c r="K143" t="inlineStr">
        <is>
          <t>Reach Truck 1.5 Ton (1 Unit) _ 1 Tahun _ Canvassing awal &amp; Sales Call</t>
        </is>
      </c>
    </row>
    <row r="144">
      <c r="A144" t="inlineStr">
        <is>
          <t>Fuji</t>
        </is>
      </c>
      <c r="B144" t="inlineStr"/>
      <c r="C144" t="inlineStr">
        <is>
          <t>Ravico</t>
        </is>
      </c>
      <c r="D144" t="inlineStr">
        <is>
          <t>PNG</t>
        </is>
      </c>
      <c r="E144" t="inlineStr">
        <is>
          <t>PROCTER &amp; GAMBLE OPERATIONS INDONESIA</t>
        </is>
      </c>
      <c r="F144" t="inlineStr"/>
      <c r="G144" t="inlineStr">
        <is>
          <t>7.26.01112</t>
        </is>
      </c>
      <c r="H144" t="inlineStr">
        <is>
          <t>Leads</t>
        </is>
      </c>
      <c r="I144" t="n">
        <v>0</v>
      </c>
      <c r="J144" t="n">
        <v>114</v>
      </c>
      <c r="K144" t="inlineStr">
        <is>
          <t>Reach Truck 1.5 Ton (1 Unit) _ 1 Tahun _ Canvassing awal &amp; Sales Call</t>
        </is>
      </c>
    </row>
    <row r="145">
      <c r="A145" t="inlineStr">
        <is>
          <t>Fuji</t>
        </is>
      </c>
      <c r="B145" t="inlineStr"/>
      <c r="C145" t="inlineStr">
        <is>
          <t>Ravico</t>
        </is>
      </c>
      <c r="D145" t="inlineStr">
        <is>
          <t>PIPR</t>
        </is>
      </c>
      <c r="E145" t="inlineStr">
        <is>
          <t>PACIFIC INDAH PRATAMA</t>
        </is>
      </c>
      <c r="F145" t="inlineStr">
        <is>
          <t>S</t>
        </is>
      </c>
      <c r="G145" t="inlineStr">
        <is>
          <t>7.26.01113</t>
        </is>
      </c>
      <c r="H145" t="inlineStr">
        <is>
          <t>Leads</t>
        </is>
      </c>
      <c r="I145" t="n">
        <v>0</v>
      </c>
      <c r="J145" t="n">
        <v>114</v>
      </c>
      <c r="K145" t="inlineStr">
        <is>
          <t>Reach Truck 1.5 Ton (1 Unit) _ 1 Tahun _ Canvassing awal &amp; Sales Call</t>
        </is>
      </c>
    </row>
    <row r="146">
      <c r="A146" t="inlineStr">
        <is>
          <t>Fuji</t>
        </is>
      </c>
      <c r="B146" t="inlineStr"/>
      <c r="C146" t="inlineStr">
        <is>
          <t>Ravico</t>
        </is>
      </c>
      <c r="D146" t="inlineStr">
        <is>
          <t>PHILIPMORI</t>
        </is>
      </c>
      <c r="E146" t="inlineStr">
        <is>
          <t>PHILIP MORRIS INDONESIA</t>
        </is>
      </c>
      <c r="F146" t="inlineStr"/>
      <c r="G146" t="inlineStr">
        <is>
          <t>7.26.01118</t>
        </is>
      </c>
      <c r="H146" t="inlineStr">
        <is>
          <t>Leads</t>
        </is>
      </c>
      <c r="I146" t="n">
        <v>0</v>
      </c>
      <c r="J146" t="n">
        <v>114</v>
      </c>
      <c r="K146" t="inlineStr">
        <is>
          <t>Reach Truck 1.5 Ton (1 Unit) _ 1 Tahun _ Canvassing awal &amp; Sales Call</t>
        </is>
      </c>
    </row>
    <row r="147">
      <c r="A147" t="inlineStr">
        <is>
          <t>Fuji</t>
        </is>
      </c>
      <c r="B147" t="inlineStr"/>
      <c r="C147" t="inlineStr">
        <is>
          <t>Ravico</t>
        </is>
      </c>
      <c r="D147" t="inlineStr">
        <is>
          <t>PHAROS</t>
        </is>
      </c>
      <c r="E147" t="inlineStr">
        <is>
          <t>PHAROS INDONESIA</t>
        </is>
      </c>
      <c r="F147" t="inlineStr">
        <is>
          <t>L</t>
        </is>
      </c>
      <c r="G147" t="inlineStr">
        <is>
          <t>7.26.01119</t>
        </is>
      </c>
      <c r="H147" t="inlineStr">
        <is>
          <t>Leads</t>
        </is>
      </c>
      <c r="I147" t="n">
        <v>0</v>
      </c>
      <c r="J147" t="n">
        <v>114</v>
      </c>
      <c r="K147" t="inlineStr">
        <is>
          <t>Reach Truck 1.5 Ton (1 Unit) _ 1 Tahun _ Canvassing awal &amp; Sales Call</t>
        </is>
      </c>
    </row>
    <row r="148">
      <c r="A148" t="inlineStr">
        <is>
          <t>Fuji</t>
        </is>
      </c>
      <c r="B148" t="inlineStr"/>
      <c r="C148" t="inlineStr">
        <is>
          <t>Ravico</t>
        </is>
      </c>
      <c r="D148" t="inlineStr">
        <is>
          <t>PFI</t>
        </is>
      </c>
      <c r="E148" t="inlineStr">
        <is>
          <t>PACIFIC FOOD INDONESIA</t>
        </is>
      </c>
      <c r="F148" t="inlineStr">
        <is>
          <t>S</t>
        </is>
      </c>
      <c r="G148" t="inlineStr">
        <is>
          <t>7.26.01122</t>
        </is>
      </c>
      <c r="H148" t="inlineStr">
        <is>
          <t>Leads</t>
        </is>
      </c>
      <c r="I148" t="n">
        <v>0</v>
      </c>
      <c r="J148" t="n">
        <v>114</v>
      </c>
      <c r="K148" t="inlineStr">
        <is>
          <t>Reach Truck 1.5 Ton (1 Unit) _ 1 Tahun _ Canvassing awal &amp; Sales Call</t>
        </is>
      </c>
    </row>
    <row r="149">
      <c r="A149" t="inlineStr">
        <is>
          <t>Fuji</t>
        </is>
      </c>
      <c r="B149" t="inlineStr"/>
      <c r="C149" t="inlineStr">
        <is>
          <t>Ravico</t>
        </is>
      </c>
      <c r="D149" t="inlineStr">
        <is>
          <t>PEPSI</t>
        </is>
      </c>
      <c r="E149" t="inlineStr">
        <is>
          <t>PT PEPSICO INDONESIA FOODS AND BEVERAGES</t>
        </is>
      </c>
      <c r="F149" t="inlineStr">
        <is>
          <t>S</t>
        </is>
      </c>
      <c r="G149" t="inlineStr">
        <is>
          <t>7.26.01125</t>
        </is>
      </c>
      <c r="H149" t="inlineStr">
        <is>
          <t>Leads</t>
        </is>
      </c>
      <c r="I149" t="n">
        <v>0</v>
      </c>
      <c r="J149" t="n">
        <v>114</v>
      </c>
      <c r="K149" t="inlineStr">
        <is>
          <t>Reach Truck 1.5 Ton (1 Unit) _ 1 Tahun _ Canvassing awal &amp; Sales Call</t>
        </is>
      </c>
    </row>
    <row r="150">
      <c r="A150" t="inlineStr">
        <is>
          <t>Fuji</t>
        </is>
      </c>
      <c r="B150" t="inlineStr"/>
      <c r="C150" t="inlineStr">
        <is>
          <t>Ravico</t>
        </is>
      </c>
      <c r="D150" t="inlineStr">
        <is>
          <t>PELNI</t>
        </is>
      </c>
      <c r="E150" t="inlineStr">
        <is>
          <t>PELAYARAN NASIONAL INDONESIA</t>
        </is>
      </c>
      <c r="F150" t="inlineStr"/>
      <c r="G150" t="inlineStr">
        <is>
          <t>7.26.01128</t>
        </is>
      </c>
      <c r="H150" t="inlineStr">
        <is>
          <t>Leads</t>
        </is>
      </c>
      <c r="I150" t="n">
        <v>0</v>
      </c>
      <c r="J150" t="n">
        <v>114</v>
      </c>
      <c r="K150" t="inlineStr">
        <is>
          <t>Reach Truck 1.5 Ton (1 Unit) _ 1 Tahun _ Canvassing awal &amp; Sales Call</t>
        </is>
      </c>
    </row>
    <row r="151">
      <c r="A151" t="inlineStr">
        <is>
          <t>Fuji</t>
        </is>
      </c>
      <c r="B151" t="inlineStr"/>
      <c r="C151" t="inlineStr">
        <is>
          <t>Ravico</t>
        </is>
      </c>
      <c r="D151" t="inlineStr">
        <is>
          <t>PELGARIND</t>
        </is>
      </c>
      <c r="E151" t="inlineStr">
        <is>
          <t>PT PELABUHAN TEGAR INDONESIA</t>
        </is>
      </c>
      <c r="F151" t="inlineStr">
        <is>
          <t>L</t>
        </is>
      </c>
      <c r="G151" t="inlineStr">
        <is>
          <t>7.26.01130</t>
        </is>
      </c>
      <c r="H151" t="inlineStr">
        <is>
          <t>Leads</t>
        </is>
      </c>
      <c r="I151" t="n">
        <v>0</v>
      </c>
      <c r="J151" t="n">
        <v>114</v>
      </c>
      <c r="K151" t="inlineStr">
        <is>
          <t>Reach Truck 1.5 Ton (1 Unit) _ 1 Tahun _ Canvassing awal &amp; Sales Call</t>
        </is>
      </c>
    </row>
    <row r="152">
      <c r="A152" t="inlineStr">
        <is>
          <t>Fuji</t>
        </is>
      </c>
      <c r="B152" t="inlineStr"/>
      <c r="C152" t="inlineStr">
        <is>
          <t>Ravico</t>
        </is>
      </c>
      <c r="D152" t="inlineStr">
        <is>
          <t>PEARLRIVER</t>
        </is>
      </c>
      <c r="E152" t="inlineStr">
        <is>
          <t>PEARL RIVER INDONESIA</t>
        </is>
      </c>
      <c r="F152" t="inlineStr"/>
      <c r="G152" t="inlineStr">
        <is>
          <t>7.26.01131</t>
        </is>
      </c>
      <c r="H152" t="inlineStr">
        <is>
          <t>Leads</t>
        </is>
      </c>
      <c r="I152" t="n">
        <v>0</v>
      </c>
      <c r="J152" t="n">
        <v>114</v>
      </c>
      <c r="K152" t="inlineStr">
        <is>
          <t>Reach Truck 1.5 Ton (1 Unit) _ 1 Tahun _ Canvassing awal &amp; Sales Call</t>
        </is>
      </c>
    </row>
    <row r="153">
      <c r="A153" t="inlineStr">
        <is>
          <t>Fuji</t>
        </is>
      </c>
      <c r="B153" t="inlineStr"/>
      <c r="C153" t="inlineStr">
        <is>
          <t>Ravico</t>
        </is>
      </c>
      <c r="D153" t="inlineStr">
        <is>
          <t>NOSE</t>
        </is>
      </c>
      <c r="E153" t="inlineStr">
        <is>
          <t>NOSE HERBAL INDO</t>
        </is>
      </c>
      <c r="F153" t="inlineStr">
        <is>
          <t>S</t>
        </is>
      </c>
      <c r="G153" t="inlineStr">
        <is>
          <t>7.26.01142</t>
        </is>
      </c>
      <c r="H153" t="inlineStr">
        <is>
          <t>Leads</t>
        </is>
      </c>
      <c r="I153" t="n">
        <v>0</v>
      </c>
      <c r="J153" t="n">
        <v>114</v>
      </c>
      <c r="K153" t="inlineStr">
        <is>
          <t>Reach Truck 1.5 Ton (1 Unit) _ 1 Tahun _ Canvassing awal &amp; Sales Call</t>
        </is>
      </c>
    </row>
    <row r="154">
      <c r="A154" t="inlineStr">
        <is>
          <t>Fuji</t>
        </is>
      </c>
      <c r="B154" t="inlineStr"/>
      <c r="C154" t="inlineStr">
        <is>
          <t>Ravico</t>
        </is>
      </c>
      <c r="D154" t="inlineStr">
        <is>
          <t>NMCI</t>
        </is>
      </c>
      <c r="E154" t="inlineStr">
        <is>
          <t>NOF MAS CHEMICAL INDUSTRIES</t>
        </is>
      </c>
      <c r="F154" t="inlineStr"/>
      <c r="G154" t="inlineStr">
        <is>
          <t>7.26.01144</t>
        </is>
      </c>
      <c r="H154" t="inlineStr">
        <is>
          <t>Leads</t>
        </is>
      </c>
      <c r="I154" t="n">
        <v>0</v>
      </c>
      <c r="J154" t="n">
        <v>114</v>
      </c>
      <c r="K154" t="inlineStr">
        <is>
          <t>Reach Truck 1.5 Ton (1 Unit) _ 1 Tahun _ Canvassing awal &amp; Sales Call</t>
        </is>
      </c>
    </row>
    <row r="155">
      <c r="A155" t="inlineStr">
        <is>
          <t>Fuji</t>
        </is>
      </c>
      <c r="B155" t="inlineStr"/>
      <c r="C155" t="inlineStr">
        <is>
          <t>Ravico</t>
        </is>
      </c>
      <c r="D155" t="inlineStr">
        <is>
          <t>MUPC</t>
        </is>
      </c>
      <c r="E155" t="inlineStr">
        <is>
          <t>MITRA UNIT PLASTINDO CEMERLANG</t>
        </is>
      </c>
      <c r="F155" t="inlineStr">
        <is>
          <t>S</t>
        </is>
      </c>
      <c r="G155" t="inlineStr">
        <is>
          <t>7.26.01147</t>
        </is>
      </c>
      <c r="H155" t="inlineStr">
        <is>
          <t>Leads</t>
        </is>
      </c>
      <c r="I155" t="n">
        <v>0</v>
      </c>
      <c r="J155" t="n">
        <v>114</v>
      </c>
      <c r="K155" t="inlineStr">
        <is>
          <t>Reach Truck 1.5 Ton (1 Unit) _ 1 Tahun _ Canvassing awal &amp; Sales Call</t>
        </is>
      </c>
    </row>
    <row r="156">
      <c r="A156" t="inlineStr">
        <is>
          <t>Fuji</t>
        </is>
      </c>
      <c r="B156" t="inlineStr"/>
      <c r="C156" t="inlineStr">
        <is>
          <t>Ravico</t>
        </is>
      </c>
      <c r="D156" t="inlineStr">
        <is>
          <t>BUMINUSA</t>
        </is>
      </c>
      <c r="E156" t="inlineStr">
        <is>
          <t>BUMI NUSANTARA</t>
        </is>
      </c>
      <c r="F156" t="inlineStr">
        <is>
          <t>S</t>
        </is>
      </c>
      <c r="G156" t="inlineStr">
        <is>
          <t>7.26.01182</t>
        </is>
      </c>
      <c r="H156" t="inlineStr">
        <is>
          <t>Leads</t>
        </is>
      </c>
      <c r="I156" t="n">
        <v>0</v>
      </c>
      <c r="J156" t="n">
        <v>114</v>
      </c>
      <c r="K156" t="inlineStr">
        <is>
          <t>Reach Truck 1.5 Ton (1 Unit) _ 1 Tahun _ Canvassing awal &amp; Sales Call</t>
        </is>
      </c>
    </row>
    <row r="157">
      <c r="A157" t="inlineStr">
        <is>
          <t>Fuji</t>
        </is>
      </c>
      <c r="B157" t="inlineStr"/>
      <c r="C157" t="inlineStr">
        <is>
          <t>Ravico</t>
        </is>
      </c>
      <c r="D157" t="inlineStr">
        <is>
          <t>MAERSK</t>
        </is>
      </c>
      <c r="E157" t="inlineStr">
        <is>
          <t>PELAYARAN BINTANG PUTIH</t>
        </is>
      </c>
      <c r="F157" t="inlineStr"/>
      <c r="G157" t="inlineStr">
        <is>
          <t>7.26.01315</t>
        </is>
      </c>
      <c r="H157" t="inlineStr">
        <is>
          <t>Leads</t>
        </is>
      </c>
      <c r="I157" t="n">
        <v>0</v>
      </c>
      <c r="J157" t="n">
        <v>114</v>
      </c>
      <c r="K157" t="inlineStr">
        <is>
          <t>Reach Truck 1.5 Ton (1 Unit) _ 1 Tahun _ Canvassing awal &amp; Sales Call</t>
        </is>
      </c>
    </row>
    <row r="158">
      <c r="A158" t="inlineStr">
        <is>
          <t>Fuji</t>
        </is>
      </c>
      <c r="B158" t="inlineStr"/>
      <c r="C158" t="inlineStr">
        <is>
          <t>Ravico</t>
        </is>
      </c>
      <c r="D158" t="inlineStr">
        <is>
          <t>SL</t>
        </is>
      </c>
      <c r="E158" t="inlineStr">
        <is>
          <t>SUGAR LABINTA</t>
        </is>
      </c>
      <c r="F158" t="inlineStr"/>
      <c r="G158" t="inlineStr">
        <is>
          <t>7.26.01317</t>
        </is>
      </c>
      <c r="H158" t="inlineStr">
        <is>
          <t>Leads</t>
        </is>
      </c>
      <c r="I158" t="n">
        <v>0</v>
      </c>
      <c r="J158" t="n">
        <v>114</v>
      </c>
      <c r="K158" t="inlineStr">
        <is>
          <t>Reach Truck 1.5 Ton (1 Unit) _ 1 Tahun _ Canvassing awal &amp; Sales Call</t>
        </is>
      </c>
    </row>
    <row r="159">
      <c r="A159" t="inlineStr">
        <is>
          <t>Fuji</t>
        </is>
      </c>
      <c r="B159" t="inlineStr"/>
      <c r="C159" t="inlineStr">
        <is>
          <t>Ravico</t>
        </is>
      </c>
      <c r="D159" t="inlineStr">
        <is>
          <t>NTDDCCTS</t>
        </is>
      </c>
      <c r="E159" t="inlineStr">
        <is>
          <t>UNITED DICO CITAS</t>
        </is>
      </c>
      <c r="F159" t="inlineStr"/>
      <c r="G159" t="inlineStr">
        <is>
          <t>7.26.01338</t>
        </is>
      </c>
      <c r="H159" t="inlineStr">
        <is>
          <t>Leads</t>
        </is>
      </c>
      <c r="I159" t="n">
        <v>0</v>
      </c>
      <c r="J159" t="n">
        <v>114</v>
      </c>
      <c r="K159" t="inlineStr">
        <is>
          <t>Reach Truck 1.5 Ton (1 Unit) _ 1 Tahun _ Canvassing awal &amp; Sales Call</t>
        </is>
      </c>
    </row>
    <row r="160">
      <c r="A160" t="inlineStr">
        <is>
          <t>Fuji</t>
        </is>
      </c>
      <c r="B160" t="inlineStr"/>
      <c r="C160" t="inlineStr">
        <is>
          <t>Ravico</t>
        </is>
      </c>
      <c r="D160" t="inlineStr">
        <is>
          <t>PANCALOGAM</t>
        </is>
      </c>
      <c r="E160" t="inlineStr">
        <is>
          <t>PANCA LOGAM SUKSES MANDIRI</t>
        </is>
      </c>
      <c r="F160" t="inlineStr"/>
      <c r="G160" t="inlineStr">
        <is>
          <t>7.26.01405</t>
        </is>
      </c>
      <c r="H160" t="inlineStr">
        <is>
          <t>Leads</t>
        </is>
      </c>
      <c r="I160" t="n">
        <v>0</v>
      </c>
      <c r="J160" t="n">
        <v>114</v>
      </c>
      <c r="K160" t="inlineStr">
        <is>
          <t>Reach Truck 1.5 Ton (1 Unit) _ 1 Tahun _ Canvassing awal &amp; Sales Call</t>
        </is>
      </c>
    </row>
    <row r="161">
      <c r="A161" t="inlineStr">
        <is>
          <t>Fuji</t>
        </is>
      </c>
      <c r="B161" t="inlineStr"/>
      <c r="C161" t="inlineStr">
        <is>
          <t>Ravico</t>
        </is>
      </c>
      <c r="D161" t="inlineStr">
        <is>
          <t>PRESISI</t>
        </is>
      </c>
      <c r="E161" t="inlineStr">
        <is>
          <t>PRESISI DIGITAL MODEREN TEKNOLOGI</t>
        </is>
      </c>
      <c r="F161" t="inlineStr"/>
      <c r="G161" t="inlineStr">
        <is>
          <t>7.26.01408</t>
        </is>
      </c>
      <c r="H161" t="inlineStr">
        <is>
          <t>Leads</t>
        </is>
      </c>
      <c r="I161" t="n">
        <v>0</v>
      </c>
      <c r="J161" t="n">
        <v>114</v>
      </c>
      <c r="K161" t="inlineStr">
        <is>
          <t>Reach Truck 1.5 Ton (1 Unit) _ 1 Tahun _ Canvassing awal &amp; Sales Call</t>
        </is>
      </c>
    </row>
    <row r="162">
      <c r="A162" t="inlineStr">
        <is>
          <t>Fuji</t>
        </is>
      </c>
      <c r="B162" t="inlineStr"/>
      <c r="C162" t="inlineStr">
        <is>
          <t>Ravico</t>
        </is>
      </c>
      <c r="D162" t="inlineStr">
        <is>
          <t>GKM</t>
        </is>
      </c>
      <c r="E162" t="inlineStr">
        <is>
          <t>GLOBAL KARSA MEDIKA</t>
        </is>
      </c>
      <c r="F162" t="inlineStr">
        <is>
          <t>S</t>
        </is>
      </c>
      <c r="G162" t="inlineStr">
        <is>
          <t>7.26.01485</t>
        </is>
      </c>
      <c r="H162" t="inlineStr">
        <is>
          <t>Leads</t>
        </is>
      </c>
      <c r="I162" t="n">
        <v>0</v>
      </c>
      <c r="J162" t="n">
        <v>114</v>
      </c>
      <c r="K162" t="inlineStr">
        <is>
          <t>Reach Truck 1.5 Ton (1 Unit) _ 1 Tahun _ Canvassing awal &amp; Sales Call</t>
        </is>
      </c>
    </row>
    <row r="163">
      <c r="A163" t="inlineStr">
        <is>
          <t>Fuji</t>
        </is>
      </c>
      <c r="B163" t="inlineStr"/>
      <c r="C163" t="inlineStr">
        <is>
          <t>Ravico</t>
        </is>
      </c>
      <c r="D163" t="inlineStr">
        <is>
          <t>KAPALAPI</t>
        </is>
      </c>
      <c r="E163" t="inlineStr">
        <is>
          <t>KAPAL API GLOBAL</t>
        </is>
      </c>
      <c r="F163" t="inlineStr">
        <is>
          <t>S</t>
        </is>
      </c>
      <c r="G163" t="inlineStr">
        <is>
          <t>7.26.01494</t>
        </is>
      </c>
      <c r="H163" t="inlineStr">
        <is>
          <t>Leads</t>
        </is>
      </c>
      <c r="I163" t="n">
        <v>0</v>
      </c>
      <c r="J163" t="n">
        <v>114</v>
      </c>
      <c r="K163" t="inlineStr">
        <is>
          <t>Reach Truck 1.5 Ton (1 Unit) _ 1 Tahun _ Canvassing awal &amp; Sales Call</t>
        </is>
      </c>
    </row>
    <row r="164">
      <c r="A164" t="inlineStr">
        <is>
          <t>Fuji</t>
        </is>
      </c>
      <c r="B164" t="inlineStr"/>
      <c r="C164" t="inlineStr">
        <is>
          <t>Ravico</t>
        </is>
      </c>
      <c r="D164" t="inlineStr">
        <is>
          <t>PANASONIC</t>
        </is>
      </c>
      <c r="E164" t="inlineStr">
        <is>
          <t>PANASONIC GOBEL LIFE SOLUTIONS</t>
        </is>
      </c>
      <c r="F164" t="inlineStr"/>
      <c r="G164" t="inlineStr">
        <is>
          <t>7.26.01525</t>
        </is>
      </c>
      <c r="H164" t="inlineStr">
        <is>
          <t>Leads</t>
        </is>
      </c>
      <c r="I164" t="n">
        <v>0</v>
      </c>
      <c r="J164" t="n">
        <v>114</v>
      </c>
      <c r="K164" t="inlineStr">
        <is>
          <t>Reach Truck 1.5 Ton (1 Unit) _ 1 Tahun _ Canvassing awal &amp; Sales Call</t>
        </is>
      </c>
    </row>
    <row r="165">
      <c r="A165" t="inlineStr">
        <is>
          <t>Fuji</t>
        </is>
      </c>
      <c r="B165" t="inlineStr"/>
      <c r="C165" t="inlineStr">
        <is>
          <t>Ravico</t>
        </is>
      </c>
      <c r="D165" t="inlineStr">
        <is>
          <t>GGL</t>
        </is>
      </c>
      <c r="E165" t="inlineStr">
        <is>
          <t>GREAT GIANT LIVESTOCK</t>
        </is>
      </c>
      <c r="F165" t="inlineStr">
        <is>
          <t>M</t>
        </is>
      </c>
      <c r="G165" t="inlineStr">
        <is>
          <t>7.26.01553</t>
        </is>
      </c>
      <c r="H165" t="inlineStr">
        <is>
          <t>Leads</t>
        </is>
      </c>
      <c r="I165" t="n">
        <v>0</v>
      </c>
      <c r="J165" t="n">
        <v>115</v>
      </c>
      <c r="K165" t="inlineStr">
        <is>
          <t>Reach Truck 1.5 Ton (1 Unit) _ 1 Tahun _ Canvassing awal &amp; Sales Call</t>
        </is>
      </c>
    </row>
    <row r="166">
      <c r="A166" t="inlineStr">
        <is>
          <t>Fuji</t>
        </is>
      </c>
      <c r="B166" t="inlineStr"/>
      <c r="C166" t="inlineStr">
        <is>
          <t>Ravico</t>
        </is>
      </c>
      <c r="D166" t="inlineStr">
        <is>
          <t>CHINA</t>
        </is>
      </c>
      <c r="E166" t="inlineStr">
        <is>
          <t>CHINA LIFE INSURANCE</t>
        </is>
      </c>
      <c r="F166" t="inlineStr"/>
      <c r="G166" t="inlineStr">
        <is>
          <t>7.26.01576</t>
        </is>
      </c>
      <c r="H166" t="inlineStr">
        <is>
          <t>Leads</t>
        </is>
      </c>
      <c r="I166" t="n">
        <v>0</v>
      </c>
      <c r="J166" t="n">
        <v>115</v>
      </c>
      <c r="K166" t="inlineStr">
        <is>
          <t>Reach Truck 1.5 Ton (1 Unit) _ 1 Tahun _ Canvassing awal &amp; Sales Call</t>
        </is>
      </c>
    </row>
    <row r="167">
      <c r="A167" t="inlineStr">
        <is>
          <t>Fuji</t>
        </is>
      </c>
      <c r="B167" t="inlineStr"/>
      <c r="C167" t="inlineStr">
        <is>
          <t>Ravico</t>
        </is>
      </c>
      <c r="D167" t="inlineStr">
        <is>
          <t>LILIIN</t>
        </is>
      </c>
      <c r="E167" t="inlineStr">
        <is>
          <t>PT LIPPO LIFE INSURANCE</t>
        </is>
      </c>
      <c r="F167" t="inlineStr">
        <is>
          <t>S</t>
        </is>
      </c>
      <c r="G167" t="inlineStr">
        <is>
          <t>7.26.01583</t>
        </is>
      </c>
      <c r="H167" t="inlineStr">
        <is>
          <t>Leads</t>
        </is>
      </c>
      <c r="I167" t="n">
        <v>0</v>
      </c>
      <c r="J167" t="n">
        <v>115</v>
      </c>
      <c r="K167" t="inlineStr">
        <is>
          <t>Reach Truck 1.5 Ton (1 Unit) _ 1 Tahun _ Canvassing awal &amp; Sales Call</t>
        </is>
      </c>
    </row>
    <row r="168">
      <c r="A168" t="inlineStr">
        <is>
          <t>Fuji</t>
        </is>
      </c>
      <c r="B168" t="inlineStr"/>
      <c r="C168" t="inlineStr">
        <is>
          <t>Ravico</t>
        </is>
      </c>
      <c r="D168" t="inlineStr">
        <is>
          <t>PRUDENTIAL</t>
        </is>
      </c>
      <c r="E168" t="inlineStr">
        <is>
          <t>PRUDENTIAL LIFE ASSURANCE</t>
        </is>
      </c>
      <c r="F168" t="inlineStr">
        <is>
          <t>L</t>
        </is>
      </c>
      <c r="G168" t="inlineStr">
        <is>
          <t>7.26.01586</t>
        </is>
      </c>
      <c r="H168" t="inlineStr">
        <is>
          <t>Leads</t>
        </is>
      </c>
      <c r="I168" t="n">
        <v>0</v>
      </c>
      <c r="J168" t="n">
        <v>115</v>
      </c>
      <c r="K168" t="inlineStr">
        <is>
          <t>Reach Truck 1.5 Ton (1 Unit) _ 1 Tahun _ Canvassing awal &amp; Sales Call</t>
        </is>
      </c>
    </row>
    <row r="169">
      <c r="A169" t="inlineStr">
        <is>
          <t>Fuji</t>
        </is>
      </c>
      <c r="B169" t="inlineStr"/>
      <c r="C169" t="inlineStr">
        <is>
          <t>Ravico</t>
        </is>
      </c>
      <c r="D169" t="inlineStr">
        <is>
          <t>SURYAESA</t>
        </is>
      </c>
      <c r="E169" t="inlineStr">
        <is>
          <t>SURYA ESA PERKASA</t>
        </is>
      </c>
      <c r="F169" t="inlineStr"/>
      <c r="G169" t="inlineStr">
        <is>
          <t>7.26.01590</t>
        </is>
      </c>
      <c r="H169" t="inlineStr">
        <is>
          <t>Leads</t>
        </is>
      </c>
      <c r="I169" t="n">
        <v>0</v>
      </c>
      <c r="J169" t="n">
        <v>115</v>
      </c>
      <c r="K169" t="inlineStr">
        <is>
          <t>Reach Truck 1.5 Ton (1 Unit) _ 1 Tahun _ Canvassing awal &amp; Sales Call</t>
        </is>
      </c>
    </row>
    <row r="170">
      <c r="A170" t="inlineStr">
        <is>
          <t>Fuji</t>
        </is>
      </c>
      <c r="B170" t="inlineStr"/>
      <c r="C170" t="inlineStr">
        <is>
          <t>Ravico</t>
        </is>
      </c>
      <c r="D170" t="inlineStr">
        <is>
          <t>SURYASAKTI</t>
        </is>
      </c>
      <c r="E170" t="inlineStr">
        <is>
          <t>SURYA SAKTI SUKSES</t>
        </is>
      </c>
      <c r="F170" t="inlineStr"/>
      <c r="G170" t="inlineStr">
        <is>
          <t>7.26.01591</t>
        </is>
      </c>
      <c r="H170" t="inlineStr">
        <is>
          <t>Leads</t>
        </is>
      </c>
      <c r="I170" t="n">
        <v>0</v>
      </c>
      <c r="J170" t="n">
        <v>115</v>
      </c>
      <c r="K170" t="inlineStr">
        <is>
          <t>Reach Truck 1.5 Ton (1 Unit) _ 1 Tahun _ Canvassing awal &amp; Sales Call</t>
        </is>
      </c>
    </row>
    <row r="171">
      <c r="A171" t="inlineStr">
        <is>
          <t>Fuji</t>
        </is>
      </c>
      <c r="B171" t="inlineStr"/>
      <c r="C171" t="inlineStr">
        <is>
          <t>Ravico</t>
        </is>
      </c>
      <c r="D171" t="inlineStr">
        <is>
          <t>PJBMUKARAN</t>
        </is>
      </c>
      <c r="E171" t="inlineStr">
        <is>
          <t>PJB MUARA KARANG</t>
        </is>
      </c>
      <c r="F171" t="inlineStr"/>
      <c r="G171" t="inlineStr">
        <is>
          <t>7.26.01614</t>
        </is>
      </c>
      <c r="H171" t="inlineStr">
        <is>
          <t>Leads</t>
        </is>
      </c>
      <c r="I171" t="n">
        <v>0</v>
      </c>
      <c r="J171" t="n">
        <v>115</v>
      </c>
      <c r="K171" t="inlineStr">
        <is>
          <t>Reach Truck 1.5 Ton (1 Unit) _ 1 Tahun _ Canvassing awal &amp; Sales Call</t>
        </is>
      </c>
    </row>
    <row r="172">
      <c r="A172" t="inlineStr">
        <is>
          <t>Fuji</t>
        </is>
      </c>
      <c r="B172" t="inlineStr"/>
      <c r="C172" t="inlineStr">
        <is>
          <t>Ravico</t>
        </is>
      </c>
      <c r="D172" t="inlineStr">
        <is>
          <t>SEMTAMA</t>
        </is>
      </c>
      <c r="E172" t="inlineStr">
        <is>
          <t>PT SEMANGAT MEDIATAMA</t>
        </is>
      </c>
      <c r="F172" t="inlineStr">
        <is>
          <t>M</t>
        </is>
      </c>
      <c r="G172" t="inlineStr">
        <is>
          <t>7.26.01621</t>
        </is>
      </c>
      <c r="H172" t="inlineStr">
        <is>
          <t>Leads</t>
        </is>
      </c>
      <c r="I172" t="n">
        <v>0</v>
      </c>
      <c r="J172" t="n">
        <v>115</v>
      </c>
      <c r="K172" t="inlineStr">
        <is>
          <t>Reach Truck 1.5 Ton (1 Unit) _ 1 Tahun _ Canvassing awal &amp; Sales Call</t>
        </is>
      </c>
    </row>
    <row r="173">
      <c r="A173" t="inlineStr">
        <is>
          <t>Fuji</t>
        </is>
      </c>
      <c r="B173" t="inlineStr"/>
      <c r="C173" t="inlineStr">
        <is>
          <t>Ravico</t>
        </is>
      </c>
      <c r="D173" t="inlineStr">
        <is>
          <t>REVASS</t>
        </is>
      </c>
      <c r="E173" t="inlineStr">
        <is>
          <t>PT REVASS UTAMA MEDIKA</t>
        </is>
      </c>
      <c r="F173" t="inlineStr">
        <is>
          <t>M</t>
        </is>
      </c>
      <c r="G173" t="inlineStr">
        <is>
          <t>7.26.01623</t>
        </is>
      </c>
      <c r="H173" t="inlineStr">
        <is>
          <t>Prospect</t>
        </is>
      </c>
      <c r="I173" t="n">
        <v>29</v>
      </c>
      <c r="J173" t="n">
        <v>209</v>
      </c>
      <c r="K173" t="inlineStr">
        <is>
          <t>Forklift 3 Ton (2 Unit) _ 2 Tahun _ SPH Dikirim ke User</t>
        </is>
      </c>
    </row>
    <row r="174">
      <c r="A174" t="inlineStr">
        <is>
          <t>Fuji</t>
        </is>
      </c>
      <c r="B174" t="inlineStr"/>
      <c r="C174" t="inlineStr">
        <is>
          <t>Ravico</t>
        </is>
      </c>
      <c r="D174" t="inlineStr">
        <is>
          <t>HAMON</t>
        </is>
      </c>
      <c r="E174" t="inlineStr">
        <is>
          <t>JOHN COCKERILL HAMON</t>
        </is>
      </c>
      <c r="F174" t="inlineStr">
        <is>
          <t>S</t>
        </is>
      </c>
      <c r="G174" t="inlineStr">
        <is>
          <t>7.26.01644</t>
        </is>
      </c>
      <c r="H174" t="inlineStr">
        <is>
          <t>Leads</t>
        </is>
      </c>
      <c r="I174" t="n">
        <v>0</v>
      </c>
      <c r="J174" t="n">
        <v>115</v>
      </c>
      <c r="K174" t="inlineStr">
        <is>
          <t>Reach Truck 1.5 Ton (1 Unit) _ 1 Tahun _ Canvassing awal &amp; Sales Call</t>
        </is>
      </c>
    </row>
    <row r="175">
      <c r="A175" t="inlineStr">
        <is>
          <t>Fuji</t>
        </is>
      </c>
      <c r="B175" t="inlineStr"/>
      <c r="C175" t="inlineStr">
        <is>
          <t>Ravico</t>
        </is>
      </c>
      <c r="D175" t="inlineStr">
        <is>
          <t>VOKSEL</t>
        </is>
      </c>
      <c r="E175" t="inlineStr">
        <is>
          <t>PT VOKSEL ELEKTRIK TBK</t>
        </is>
      </c>
      <c r="F175" t="inlineStr">
        <is>
          <t>S</t>
        </is>
      </c>
      <c r="G175" t="inlineStr">
        <is>
          <t>7.26.01652</t>
        </is>
      </c>
      <c r="H175" t="inlineStr">
        <is>
          <t>Leads</t>
        </is>
      </c>
      <c r="I175" t="n">
        <v>0</v>
      </c>
      <c r="J175" t="n">
        <v>115</v>
      </c>
      <c r="K175" t="inlineStr">
        <is>
          <t>Reach Truck 1.5 Ton (1 Unit) _ 1 Tahun _ Canvassing awal &amp; Sales Call</t>
        </is>
      </c>
    </row>
    <row r="176">
      <c r="A176" t="inlineStr">
        <is>
          <t>Fuji</t>
        </is>
      </c>
      <c r="B176" t="inlineStr"/>
      <c r="C176" t="inlineStr">
        <is>
          <t>Ravico</t>
        </is>
      </c>
      <c r="D176" t="inlineStr">
        <is>
          <t>COSLTD</t>
        </is>
      </c>
      <c r="E176" t="inlineStr">
        <is>
          <t>PT CHINA OILFIELD SERVICES LIMITED</t>
        </is>
      </c>
      <c r="F176" t="inlineStr">
        <is>
          <t>S</t>
        </is>
      </c>
      <c r="G176" t="inlineStr">
        <is>
          <t>7.26.01653</t>
        </is>
      </c>
      <c r="H176" t="inlineStr">
        <is>
          <t>Leads</t>
        </is>
      </c>
      <c r="I176" t="n">
        <v>0</v>
      </c>
      <c r="J176" t="n">
        <v>115</v>
      </c>
      <c r="K176" t="inlineStr">
        <is>
          <t>Reach Truck 1.5 Ton (1 Unit) _ 1 Tahun _ Canvassing awal &amp; Sales Call</t>
        </is>
      </c>
    </row>
    <row r="177">
      <c r="A177" t="inlineStr">
        <is>
          <t>Fuji</t>
        </is>
      </c>
      <c r="B177" t="inlineStr"/>
      <c r="C177" t="inlineStr">
        <is>
          <t>Ravico</t>
        </is>
      </c>
      <c r="D177" t="inlineStr">
        <is>
          <t>SUMBERSEWA</t>
        </is>
      </c>
      <c r="E177" t="inlineStr">
        <is>
          <t>SUMBERDAYA SEWATAMA</t>
        </is>
      </c>
      <c r="F177" t="inlineStr"/>
      <c r="G177" t="inlineStr">
        <is>
          <t>7.26.01662</t>
        </is>
      </c>
      <c r="H177" t="inlineStr">
        <is>
          <t>Leads</t>
        </is>
      </c>
      <c r="I177" t="n">
        <v>0</v>
      </c>
      <c r="J177" t="n">
        <v>115</v>
      </c>
      <c r="K177" t="inlineStr">
        <is>
          <t>Reach Truck 1.5 Ton (1 Unit) _ 1 Tahun _ Canvassing awal &amp; Sales Call</t>
        </is>
      </c>
    </row>
    <row r="178">
      <c r="A178" t="inlineStr">
        <is>
          <t>Fuji</t>
        </is>
      </c>
      <c r="B178" t="inlineStr"/>
      <c r="C178" t="inlineStr">
        <is>
          <t>Ravico</t>
        </is>
      </c>
      <c r="D178" t="inlineStr">
        <is>
          <t>KALE</t>
        </is>
      </c>
      <c r="E178" t="inlineStr">
        <is>
          <t>KALTIMEX ENERGY</t>
        </is>
      </c>
      <c r="F178" t="inlineStr">
        <is>
          <t>S</t>
        </is>
      </c>
      <c r="G178" t="inlineStr">
        <is>
          <t>7.26.01695</t>
        </is>
      </c>
      <c r="H178" t="inlineStr">
        <is>
          <t>Leads</t>
        </is>
      </c>
      <c r="I178" t="n">
        <v>0</v>
      </c>
      <c r="J178" t="n">
        <v>115</v>
      </c>
      <c r="K178" t="inlineStr">
        <is>
          <t>Reach Truck 1.5 Ton (1 Unit) _ 1 Tahun _ Canvassing awal &amp; Sales Call</t>
        </is>
      </c>
    </row>
    <row r="179">
      <c r="A179" t="inlineStr">
        <is>
          <t>Fuji</t>
        </is>
      </c>
      <c r="B179" t="inlineStr"/>
      <c r="C179" t="inlineStr">
        <is>
          <t>Ravico</t>
        </is>
      </c>
      <c r="D179" t="inlineStr">
        <is>
          <t>MAHARUPAGA</t>
        </is>
      </c>
      <c r="E179" t="inlineStr">
        <is>
          <t>MAHARUPA GATRA</t>
        </is>
      </c>
      <c r="F179" t="inlineStr">
        <is>
          <t>L</t>
        </is>
      </c>
      <c r="G179" t="inlineStr">
        <is>
          <t>7.26.01721</t>
        </is>
      </c>
      <c r="H179" t="inlineStr">
        <is>
          <t>Leads</t>
        </is>
      </c>
      <c r="I179" t="n">
        <v>0</v>
      </c>
      <c r="J179" t="n">
        <v>115</v>
      </c>
      <c r="K179" t="inlineStr">
        <is>
          <t>Reach Truck 1.5 Ton (1 Unit) _ 1 Tahun _ Canvassing awal &amp; Sales Call</t>
        </is>
      </c>
    </row>
    <row r="180">
      <c r="A180" t="inlineStr">
        <is>
          <t>Fuji</t>
        </is>
      </c>
      <c r="B180" t="inlineStr"/>
      <c r="C180" t="inlineStr">
        <is>
          <t>Ravico</t>
        </is>
      </c>
      <c r="D180" t="inlineStr">
        <is>
          <t>SEMBAT</t>
        </is>
      </c>
      <c r="E180" t="inlineStr">
        <is>
          <t>SEMEN BATURAJA</t>
        </is>
      </c>
      <c r="F180" t="inlineStr">
        <is>
          <t>L</t>
        </is>
      </c>
      <c r="G180" t="inlineStr">
        <is>
          <t>7.26.01724</t>
        </is>
      </c>
      <c r="H180" t="inlineStr">
        <is>
          <t>Leads</t>
        </is>
      </c>
      <c r="I180" t="n">
        <v>0</v>
      </c>
      <c r="J180" t="n">
        <v>115</v>
      </c>
      <c r="K180" t="inlineStr">
        <is>
          <t>Reach Truck 1.5 Ton (1 Unit) _ 1 Tahun _ Canvassing awal &amp; Sales Call</t>
        </is>
      </c>
    </row>
    <row r="181">
      <c r="A181" t="inlineStr">
        <is>
          <t>Fuji</t>
        </is>
      </c>
      <c r="B181" t="inlineStr"/>
      <c r="C181" t="inlineStr">
        <is>
          <t>Ravico</t>
        </is>
      </c>
      <c r="D181" t="inlineStr">
        <is>
          <t>SOLVAY</t>
        </is>
      </c>
      <c r="E181" t="inlineStr">
        <is>
          <t>SOLVAY MANYAR</t>
        </is>
      </c>
      <c r="F181" t="inlineStr"/>
      <c r="G181" t="inlineStr">
        <is>
          <t>7.26.01728</t>
        </is>
      </c>
      <c r="H181" t="inlineStr">
        <is>
          <t>Leads</t>
        </is>
      </c>
      <c r="I181" t="n">
        <v>0</v>
      </c>
      <c r="J181" t="n">
        <v>115</v>
      </c>
      <c r="K181" t="inlineStr">
        <is>
          <t>Reach Truck 1.5 Ton (1 Unit) _ 1 Tahun _ Canvassing awal &amp; Sales Call</t>
        </is>
      </c>
    </row>
    <row r="182">
      <c r="A182" t="inlineStr">
        <is>
          <t>Fuji</t>
        </is>
      </c>
      <c r="B182" t="inlineStr"/>
      <c r="C182" t="inlineStr">
        <is>
          <t>Ravico</t>
        </is>
      </c>
      <c r="D182" t="inlineStr">
        <is>
          <t>CENTEX</t>
        </is>
      </c>
      <c r="E182" t="inlineStr">
        <is>
          <t>CENTEX</t>
        </is>
      </c>
      <c r="F182" t="inlineStr"/>
      <c r="G182" t="inlineStr">
        <is>
          <t>7.26.01729</t>
        </is>
      </c>
      <c r="H182" t="inlineStr">
        <is>
          <t>Leads</t>
        </is>
      </c>
      <c r="I182" t="n">
        <v>0</v>
      </c>
      <c r="J182" t="n">
        <v>115</v>
      </c>
      <c r="K182" t="inlineStr">
        <is>
          <t>Reach Truck 1.5 Ton (1 Unit) _ 1 Tahun _ Canvassing awal &amp; Sales Call</t>
        </is>
      </c>
    </row>
    <row r="183">
      <c r="A183" t="inlineStr">
        <is>
          <t>Fuji</t>
        </is>
      </c>
      <c r="B183" t="inlineStr"/>
      <c r="C183" t="inlineStr">
        <is>
          <t>Ravico</t>
        </is>
      </c>
      <c r="D183" t="inlineStr">
        <is>
          <t>HERBALINSA</t>
        </is>
      </c>
      <c r="E183" t="inlineStr">
        <is>
          <t>HERBAL INSANI</t>
        </is>
      </c>
      <c r="F183" t="inlineStr">
        <is>
          <t>S</t>
        </is>
      </c>
      <c r="G183" t="inlineStr">
        <is>
          <t>7.26.01737</t>
        </is>
      </c>
      <c r="H183" t="inlineStr">
        <is>
          <t>Leads</t>
        </is>
      </c>
      <c r="I183" t="n">
        <v>0</v>
      </c>
      <c r="J183" t="n">
        <v>115</v>
      </c>
      <c r="K183" t="inlineStr">
        <is>
          <t>Reach Truck 1.5 Ton (1 Unit) _ 1 Tahun _ Canvassing awal &amp; Sales Call</t>
        </is>
      </c>
    </row>
    <row r="184">
      <c r="A184" t="inlineStr">
        <is>
          <t>Fuji</t>
        </is>
      </c>
      <c r="B184" t="inlineStr"/>
      <c r="C184" t="inlineStr">
        <is>
          <t>Ravico</t>
        </is>
      </c>
      <c r="D184" t="inlineStr">
        <is>
          <t>REVASS</t>
        </is>
      </c>
      <c r="E184" t="inlineStr">
        <is>
          <t>PT REVASS UTAMA MEDIKA</t>
        </is>
      </c>
      <c r="F184" t="inlineStr">
        <is>
          <t>M</t>
        </is>
      </c>
      <c r="G184" t="inlineStr">
        <is>
          <t>7.26.01748</t>
        </is>
      </c>
      <c r="H184" t="inlineStr">
        <is>
          <t>Prospect</t>
        </is>
      </c>
      <c r="I184" t="n">
        <v>26</v>
      </c>
      <c r="J184" t="n">
        <v>206</v>
      </c>
      <c r="K184" t="inlineStr">
        <is>
          <t>Forklift 3 Ton (2 Unit) _ 2 Tahun _ SPH Dikirim ke User</t>
        </is>
      </c>
    </row>
    <row r="185">
      <c r="A185" t="inlineStr">
        <is>
          <t>Fuji</t>
        </is>
      </c>
      <c r="B185" t="inlineStr"/>
      <c r="C185" t="inlineStr">
        <is>
          <t>Ravico</t>
        </is>
      </c>
      <c r="D185" t="inlineStr">
        <is>
          <t>SENFUPT</t>
        </is>
      </c>
      <c r="E185" t="inlineStr">
        <is>
          <t>PT SENOPATI FUJITRANS LOGISTIC</t>
        </is>
      </c>
      <c r="F185" t="inlineStr">
        <is>
          <t>M</t>
        </is>
      </c>
      <c r="G185" t="inlineStr">
        <is>
          <t>7.26.01820</t>
        </is>
      </c>
      <c r="H185" t="inlineStr">
        <is>
          <t>Leads</t>
        </is>
      </c>
      <c r="I185" t="n">
        <v>0</v>
      </c>
      <c r="J185" t="n">
        <v>180</v>
      </c>
      <c r="K185" t="inlineStr">
        <is>
          <t>Reach Truck 1.5 Ton (1 Unit) _ 1 Tahun _ Canvassing awal &amp; Sales Call</t>
        </is>
      </c>
    </row>
    <row r="186">
      <c r="A186" t="inlineStr">
        <is>
          <t>Fuji</t>
        </is>
      </c>
      <c r="B186" t="inlineStr"/>
      <c r="C186" t="inlineStr">
        <is>
          <t>Ravico</t>
        </is>
      </c>
      <c r="D186" t="inlineStr">
        <is>
          <t>IPE</t>
        </is>
      </c>
      <c r="E186" t="inlineStr">
        <is>
          <t>PT INDONESIA PRIMA EQUIPMENT</t>
        </is>
      </c>
      <c r="F186" t="inlineStr">
        <is>
          <t>L</t>
        </is>
      </c>
      <c r="G186" t="inlineStr">
        <is>
          <t>7.26.01821</t>
        </is>
      </c>
      <c r="H186" t="inlineStr">
        <is>
          <t>Leads</t>
        </is>
      </c>
      <c r="I186" t="n">
        <v>0</v>
      </c>
      <c r="J186" t="n">
        <v>120</v>
      </c>
      <c r="K186" t="inlineStr">
        <is>
          <t>Reach Truck 1.5 Ton (1 Unit) _ 1 Tahun _ Canvassing awal &amp; Sales Call</t>
        </is>
      </c>
    </row>
    <row r="187">
      <c r="A187" t="inlineStr">
        <is>
          <t>Fuji</t>
        </is>
      </c>
      <c r="B187" t="inlineStr"/>
      <c r="C187" t="inlineStr">
        <is>
          <t>Ravico</t>
        </is>
      </c>
      <c r="D187" t="inlineStr">
        <is>
          <t>FAUSTINA</t>
        </is>
      </c>
      <c r="E187" t="inlineStr">
        <is>
          <t>FAUSTINA</t>
        </is>
      </c>
      <c r="F187" t="inlineStr">
        <is>
          <t>S</t>
        </is>
      </c>
      <c r="G187" t="inlineStr">
        <is>
          <t>7.26.01823</t>
        </is>
      </c>
      <c r="H187" t="inlineStr">
        <is>
          <t>Prospect</t>
        </is>
      </c>
      <c r="I187" t="n">
        <v>32</v>
      </c>
      <c r="J187" t="n">
        <v>212</v>
      </c>
      <c r="K187" t="inlineStr">
        <is>
          <t>Forklift 3 Ton (2 Unit) _ 2 Tahun _ SPH Dikirim ke User</t>
        </is>
      </c>
    </row>
    <row r="188">
      <c r="A188" t="inlineStr">
        <is>
          <t>Fuji</t>
        </is>
      </c>
      <c r="B188" t="inlineStr"/>
      <c r="C188" t="inlineStr">
        <is>
          <t>Ravico</t>
        </is>
      </c>
      <c r="D188" t="inlineStr">
        <is>
          <t>SUKUNKUDUS</t>
        </is>
      </c>
      <c r="E188" t="inlineStr">
        <is>
          <t>PT SUKUN WARTONO INDONESIA</t>
        </is>
      </c>
      <c r="F188" t="inlineStr">
        <is>
          <t>L</t>
        </is>
      </c>
      <c r="G188" t="inlineStr">
        <is>
          <t>7.26.01825</t>
        </is>
      </c>
      <c r="H188" t="inlineStr">
        <is>
          <t>Prospect</t>
        </is>
      </c>
      <c r="I188" t="n">
        <v>37</v>
      </c>
      <c r="J188" t="n">
        <v>217</v>
      </c>
      <c r="K188" t="inlineStr">
        <is>
          <t>Forklift 3 Ton (2 Unit) _ 2 Tahun _ SPH Dikirim ke User</t>
        </is>
      </c>
    </row>
    <row r="189">
      <c r="A189" t="inlineStr">
        <is>
          <t>Fuji</t>
        </is>
      </c>
      <c r="B189" t="inlineStr"/>
      <c r="C189" t="inlineStr">
        <is>
          <t>Ravico</t>
        </is>
      </c>
      <c r="D189" t="inlineStr">
        <is>
          <t>SUKUNKUDUS</t>
        </is>
      </c>
      <c r="E189" t="inlineStr">
        <is>
          <t>PT SUKUN WARTONO INDONESIA</t>
        </is>
      </c>
      <c r="F189" t="inlineStr">
        <is>
          <t>L</t>
        </is>
      </c>
      <c r="G189" t="inlineStr">
        <is>
          <t>7.26.01826</t>
        </is>
      </c>
      <c r="H189" t="inlineStr">
        <is>
          <t>Leads</t>
        </is>
      </c>
      <c r="I189" t="n">
        <v>0</v>
      </c>
      <c r="J189" t="n">
        <v>180</v>
      </c>
      <c r="K189" t="inlineStr">
        <is>
          <t>Reach Truck 1.5 Ton (1 Unit) _ 1 Tahun _ Canvassing awal &amp; Sales Call</t>
        </is>
      </c>
    </row>
    <row r="190">
      <c r="A190" t="inlineStr">
        <is>
          <t>Fuji</t>
        </is>
      </c>
      <c r="B190" t="inlineStr"/>
      <c r="C190" t="inlineStr">
        <is>
          <t>Ravico</t>
        </is>
      </c>
      <c r="D190" t="inlineStr">
        <is>
          <t>DARYA</t>
        </is>
      </c>
      <c r="E190" t="inlineStr">
        <is>
          <t>PT DARYA-VARIA LABORATORIA TBK</t>
        </is>
      </c>
      <c r="F190" t="inlineStr">
        <is>
          <t>L</t>
        </is>
      </c>
      <c r="G190" t="inlineStr">
        <is>
          <t>7.26.01827</t>
        </is>
      </c>
      <c r="H190" t="inlineStr">
        <is>
          <t>Prospect</t>
        </is>
      </c>
      <c r="I190" t="n">
        <v>51</v>
      </c>
      <c r="J190" t="n">
        <v>231</v>
      </c>
      <c r="K190" t="inlineStr">
        <is>
          <t>Forklift 3 Ton (2 Unit) _ 2 Tahun _ SPH Dikirim ke User</t>
        </is>
      </c>
    </row>
    <row r="191">
      <c r="A191" t="inlineStr">
        <is>
          <t>Fuji</t>
        </is>
      </c>
      <c r="B191" t="inlineStr"/>
      <c r="C191" t="inlineStr">
        <is>
          <t>Ravico</t>
        </is>
      </c>
      <c r="D191" t="inlineStr">
        <is>
          <t>VISINDO</t>
        </is>
      </c>
      <c r="E191" t="inlineStr">
        <is>
          <t>PT VISINDO MEDIKA UTAMA</t>
        </is>
      </c>
      <c r="F191" t="inlineStr">
        <is>
          <t>S</t>
        </is>
      </c>
      <c r="G191" t="inlineStr">
        <is>
          <t>7.26.01830</t>
        </is>
      </c>
      <c r="H191" t="inlineStr">
        <is>
          <t>Prospect</t>
        </is>
      </c>
      <c r="I191" t="n">
        <v>53</v>
      </c>
      <c r="J191" t="n">
        <v>233</v>
      </c>
      <c r="K191" t="inlineStr">
        <is>
          <t>Forklift 3 Ton (2 Unit) _ 2 Tahun _ SPH Dikirim ke User</t>
        </is>
      </c>
    </row>
    <row r="192">
      <c r="A192" t="inlineStr">
        <is>
          <t>Fuji</t>
        </is>
      </c>
      <c r="B192" t="inlineStr"/>
      <c r="C192" t="inlineStr">
        <is>
          <t>Ravico</t>
        </is>
      </c>
      <c r="D192" t="inlineStr">
        <is>
          <t>PENCHEM</t>
        </is>
      </c>
      <c r="E192" t="inlineStr">
        <is>
          <t>PT PENTA CHEMICALS INDONESIA</t>
        </is>
      </c>
      <c r="F192" t="inlineStr">
        <is>
          <t>L</t>
        </is>
      </c>
      <c r="G192" t="inlineStr">
        <is>
          <t>7.26.01831</t>
        </is>
      </c>
      <c r="H192" t="inlineStr">
        <is>
          <t>Prospect</t>
        </is>
      </c>
      <c r="I192" t="n">
        <v>45</v>
      </c>
      <c r="J192" t="n">
        <v>225</v>
      </c>
      <c r="K192" t="inlineStr">
        <is>
          <t>Forklift 3 Ton (2 Unit) _ 2 Tahun _ SPH Dikirim ke User</t>
        </is>
      </c>
    </row>
    <row r="193">
      <c r="A193" t="inlineStr">
        <is>
          <t>Fuji</t>
        </is>
      </c>
      <c r="B193" t="inlineStr"/>
      <c r="C193" t="inlineStr">
        <is>
          <t>Ravico</t>
        </is>
      </c>
      <c r="D193" t="inlineStr">
        <is>
          <t>PENCHEM</t>
        </is>
      </c>
      <c r="E193" t="inlineStr">
        <is>
          <t>PT PENTA CHEMICALS INDONESIA</t>
        </is>
      </c>
      <c r="F193" t="inlineStr">
        <is>
          <t>L</t>
        </is>
      </c>
      <c r="G193" t="inlineStr">
        <is>
          <t>7.26.01834</t>
        </is>
      </c>
      <c r="H193" t="inlineStr">
        <is>
          <t>Prospect</t>
        </is>
      </c>
      <c r="I193" t="n">
        <v>47</v>
      </c>
      <c r="J193" t="n">
        <v>227</v>
      </c>
      <c r="K193" t="inlineStr">
        <is>
          <t>Forklift 3 Ton (2 Unit) _ 2 Tahun _ SPH Dikirim ke User</t>
        </is>
      </c>
    </row>
    <row r="194">
      <c r="A194" t="inlineStr">
        <is>
          <t>Fuji</t>
        </is>
      </c>
      <c r="B194" t="inlineStr"/>
      <c r="C194" t="inlineStr">
        <is>
          <t>Ravico</t>
        </is>
      </c>
      <c r="D194" t="inlineStr">
        <is>
          <t>APWI</t>
        </is>
      </c>
      <c r="E194" t="inlineStr">
        <is>
          <t>PT ACWA POWER INDONESIA</t>
        </is>
      </c>
      <c r="F194" t="inlineStr">
        <is>
          <t>L</t>
        </is>
      </c>
      <c r="G194" t="inlineStr">
        <is>
          <t>7.26.01835</t>
        </is>
      </c>
      <c r="H194" t="inlineStr">
        <is>
          <t>Leads</t>
        </is>
      </c>
      <c r="I194" t="n">
        <v>0</v>
      </c>
      <c r="J194" t="n">
        <v>180</v>
      </c>
      <c r="K194" t="inlineStr">
        <is>
          <t>Reach Truck 1.5 Ton (1 Unit) _ 1 Tahun _ Canvassing awal &amp; Sales Call</t>
        </is>
      </c>
    </row>
    <row r="195">
      <c r="A195" t="inlineStr">
        <is>
          <t>Fuji</t>
        </is>
      </c>
      <c r="B195" t="inlineStr"/>
      <c r="C195" t="inlineStr">
        <is>
          <t>Ravico</t>
        </is>
      </c>
      <c r="D195" t="inlineStr">
        <is>
          <t>MARTYA</t>
        </is>
      </c>
      <c r="E195" t="inlineStr">
        <is>
          <t>MARTYA CHRISTINA</t>
        </is>
      </c>
      <c r="F195" t="inlineStr">
        <is>
          <t>S</t>
        </is>
      </c>
      <c r="G195" t="inlineStr">
        <is>
          <t>7.26.01852</t>
        </is>
      </c>
      <c r="H195" t="inlineStr">
        <is>
          <t>Prospect</t>
        </is>
      </c>
      <c r="I195" t="n">
        <v>72</v>
      </c>
      <c r="J195" t="n">
        <v>252</v>
      </c>
      <c r="K195" t="inlineStr">
        <is>
          <t>Forklift 3 Ton (2 Unit) _ 2 Tahun _ SPH Dikirim ke User</t>
        </is>
      </c>
    </row>
    <row r="196">
      <c r="A196" t="inlineStr">
        <is>
          <t>Fuji</t>
        </is>
      </c>
      <c r="B196" t="inlineStr"/>
      <c r="C196" t="inlineStr">
        <is>
          <t>Ravico</t>
        </is>
      </c>
      <c r="D196" t="inlineStr">
        <is>
          <t>FAUSTINA</t>
        </is>
      </c>
      <c r="E196" t="inlineStr">
        <is>
          <t>FAUSTINA</t>
        </is>
      </c>
      <c r="F196" t="inlineStr">
        <is>
          <t>S</t>
        </is>
      </c>
      <c r="G196" t="inlineStr">
        <is>
          <t>7.26.01853</t>
        </is>
      </c>
      <c r="H196" t="inlineStr">
        <is>
          <t>Prospect</t>
        </is>
      </c>
      <c r="I196" t="n">
        <v>72</v>
      </c>
      <c r="J196" t="n">
        <v>252</v>
      </c>
      <c r="K196" t="inlineStr">
        <is>
          <t>Forklift 3 Ton (2 Unit) _ 2 Tahun _ SPH Dikirim ke User</t>
        </is>
      </c>
    </row>
    <row r="197">
      <c r="A197" t="inlineStr">
        <is>
          <t>Fuji</t>
        </is>
      </c>
      <c r="B197" t="inlineStr"/>
      <c r="C197" t="inlineStr">
        <is>
          <t>Ravico</t>
        </is>
      </c>
      <c r="D197" t="inlineStr">
        <is>
          <t>IASS</t>
        </is>
      </c>
      <c r="E197" t="inlineStr">
        <is>
          <t>PT IAS SUPPORT INDONESIA</t>
        </is>
      </c>
      <c r="F197" t="inlineStr">
        <is>
          <t>M</t>
        </is>
      </c>
      <c r="G197" t="inlineStr">
        <is>
          <t>7.26.01860</t>
        </is>
      </c>
      <c r="H197" t="inlineStr">
        <is>
          <t>Prospect</t>
        </is>
      </c>
      <c r="I197" t="n">
        <v>78</v>
      </c>
      <c r="J197" t="n">
        <v>258</v>
      </c>
      <c r="K197" t="inlineStr">
        <is>
          <t>Forklift 3 Ton (2 Unit) _ 2 Tahun _ SPH Dikirim ke User</t>
        </is>
      </c>
    </row>
    <row r="198">
      <c r="A198" t="inlineStr">
        <is>
          <t>Fuji</t>
        </is>
      </c>
      <c r="B198" t="inlineStr"/>
      <c r="C198" t="inlineStr">
        <is>
          <t>Ravico</t>
        </is>
      </c>
      <c r="D198" t="inlineStr">
        <is>
          <t>CEKINDO</t>
        </is>
      </c>
      <c r="E198" t="inlineStr">
        <is>
          <t>PT CEKINDO BUSINESS INTERNATIONAL</t>
        </is>
      </c>
      <c r="F198" t="inlineStr">
        <is>
          <t>M</t>
        </is>
      </c>
      <c r="G198" t="inlineStr">
        <is>
          <t>7.26.01862</t>
        </is>
      </c>
      <c r="H198" t="inlineStr">
        <is>
          <t>Prospect</t>
        </is>
      </c>
      <c r="I198" t="n">
        <v>79</v>
      </c>
      <c r="J198" t="n">
        <v>259</v>
      </c>
      <c r="K198" t="inlineStr">
        <is>
          <t>Forklift 3 Ton (2 Unit) _ 2 Tahun _ SPH Dikirim ke User</t>
        </is>
      </c>
    </row>
    <row r="199">
      <c r="A199" t="inlineStr">
        <is>
          <t>Fuji</t>
        </is>
      </c>
      <c r="B199" t="inlineStr"/>
      <c r="C199" t="inlineStr">
        <is>
          <t>Ravico</t>
        </is>
      </c>
      <c r="D199" t="inlineStr">
        <is>
          <t>VISINDO</t>
        </is>
      </c>
      <c r="E199" t="inlineStr">
        <is>
          <t>PT VISINDO MEDIKA UTAMA</t>
        </is>
      </c>
      <c r="F199" t="inlineStr">
        <is>
          <t>S</t>
        </is>
      </c>
      <c r="G199" t="inlineStr">
        <is>
          <t>7.26.01863</t>
        </is>
      </c>
      <c r="H199" t="inlineStr">
        <is>
          <t>Leads</t>
        </is>
      </c>
      <c r="I199" t="n">
        <v>0</v>
      </c>
      <c r="J199" t="n">
        <v>170</v>
      </c>
      <c r="K199" t="inlineStr">
        <is>
          <t>Reach Truck 1.5 Ton (1 Unit) _ 1 Tahun _ Canvassing awal &amp; Sales Call</t>
        </is>
      </c>
    </row>
    <row r="200">
      <c r="A200" t="inlineStr">
        <is>
          <t>Fuji</t>
        </is>
      </c>
      <c r="B200" t="inlineStr"/>
      <c r="C200" t="inlineStr">
        <is>
          <t>Ravico</t>
        </is>
      </c>
      <c r="D200" t="inlineStr">
        <is>
          <t>XINHAI</t>
        </is>
      </c>
      <c r="E200" t="inlineStr">
        <is>
          <t>PT INDONESIA XIN HAI STEEL STRUCTURE</t>
        </is>
      </c>
      <c r="F200" t="inlineStr">
        <is>
          <t>L</t>
        </is>
      </c>
      <c r="G200" t="inlineStr">
        <is>
          <t>7.26.01871</t>
        </is>
      </c>
      <c r="H200" t="inlineStr">
        <is>
          <t>Prospect</t>
        </is>
      </c>
      <c r="I200" t="n">
        <v>85</v>
      </c>
      <c r="J200" t="n">
        <v>265</v>
      </c>
      <c r="K200" t="inlineStr">
        <is>
          <t>Forklift 3 Ton (2 Unit) _ 2 Tahun _ SPH Dikirim ke User</t>
        </is>
      </c>
    </row>
    <row r="201">
      <c r="A201" t="inlineStr">
        <is>
          <t>Fuji</t>
        </is>
      </c>
      <c r="B201" t="inlineStr"/>
      <c r="C201" t="inlineStr">
        <is>
          <t>Ravico</t>
        </is>
      </c>
      <c r="D201" t="inlineStr">
        <is>
          <t>KAIWISATA</t>
        </is>
      </c>
      <c r="E201" t="inlineStr">
        <is>
          <t>PT KERETA API PARIWISATA</t>
        </is>
      </c>
      <c r="F201" t="inlineStr">
        <is>
          <t>L</t>
        </is>
      </c>
      <c r="G201" t="inlineStr">
        <is>
          <t>7.26.01879</t>
        </is>
      </c>
      <c r="H201" t="inlineStr">
        <is>
          <t>Leads</t>
        </is>
      </c>
      <c r="I201" t="n">
        <v>0</v>
      </c>
      <c r="J201" t="n">
        <v>177</v>
      </c>
      <c r="K201" t="inlineStr">
        <is>
          <t>Reach Truck 1.5 Ton (1 Unit) _ 1 Tahun _ Canvassing awal &amp; Sales Call</t>
        </is>
      </c>
    </row>
    <row r="202">
      <c r="A202" t="inlineStr">
        <is>
          <t>Fuji</t>
        </is>
      </c>
      <c r="B202" t="inlineStr"/>
      <c r="C202" t="inlineStr">
        <is>
          <t>Ravico</t>
        </is>
      </c>
      <c r="D202" t="inlineStr">
        <is>
          <t>INTEGRATED</t>
        </is>
      </c>
      <c r="E202" t="inlineStr">
        <is>
          <t>PT INTEGRATED SYNERGY SYSTEM</t>
        </is>
      </c>
      <c r="F202" t="inlineStr">
        <is>
          <t>M</t>
        </is>
      </c>
      <c r="G202" t="inlineStr">
        <is>
          <t>7.26.01882</t>
        </is>
      </c>
      <c r="H202" t="inlineStr">
        <is>
          <t>Leads</t>
        </is>
      </c>
      <c r="I202" t="n">
        <v>0</v>
      </c>
      <c r="J202" t="n">
        <v>180</v>
      </c>
      <c r="K202" t="inlineStr">
        <is>
          <t>Reach Truck 1.5 Ton (1 Unit) _ 1 Tahun _ Canvassing awal &amp; Sales Call</t>
        </is>
      </c>
    </row>
    <row r="203">
      <c r="A203" t="inlineStr">
        <is>
          <t>Fuji</t>
        </is>
      </c>
      <c r="B203" t="inlineStr"/>
      <c r="C203" t="inlineStr">
        <is>
          <t>Andreas</t>
        </is>
      </c>
      <c r="D203" t="inlineStr">
        <is>
          <t>FOTS</t>
        </is>
      </c>
      <c r="E203" t="inlineStr">
        <is>
          <t>PT FRESH ON TIME SEAFOOD</t>
        </is>
      </c>
      <c r="F203" t="inlineStr">
        <is>
          <t>L</t>
        </is>
      </c>
      <c r="G203" t="inlineStr">
        <is>
          <t>3.24.00015</t>
        </is>
      </c>
      <c r="H203" t="inlineStr">
        <is>
          <t>Leads</t>
        </is>
      </c>
      <c r="I203" t="n">
        <v>0</v>
      </c>
      <c r="J203" t="n">
        <v>-273</v>
      </c>
      <c r="K203" t="inlineStr">
        <is>
          <t>Reach Truck 1.5 Ton (1 Unit) _ 1 Tahun _ Canvassing awal &amp; Sales Call</t>
        </is>
      </c>
    </row>
    <row r="204">
      <c r="A204" t="inlineStr">
        <is>
          <t>Fuji</t>
        </is>
      </c>
      <c r="B204" t="inlineStr"/>
      <c r="C204" t="inlineStr">
        <is>
          <t>Andreas</t>
        </is>
      </c>
      <c r="D204" t="inlineStr">
        <is>
          <t>PSA</t>
        </is>
      </c>
      <c r="E204" t="inlineStr">
        <is>
          <t>PSA CARGO SOLUTIONS INDONESIA</t>
        </is>
      </c>
      <c r="F204" t="inlineStr"/>
      <c r="G204" t="inlineStr">
        <is>
          <t>3.24.00031</t>
        </is>
      </c>
      <c r="H204" t="inlineStr">
        <is>
          <t>Leads</t>
        </is>
      </c>
      <c r="I204" t="n">
        <v>0</v>
      </c>
      <c r="J204" t="n">
        <v>-410</v>
      </c>
      <c r="K204" t="inlineStr">
        <is>
          <t>Reach Truck 1.5 Ton (1 Unit) _ 1 Tahun _ Canvassing awal &amp; Sales Call</t>
        </is>
      </c>
    </row>
    <row r="205">
      <c r="A205" t="inlineStr">
        <is>
          <t>Fuji</t>
        </is>
      </c>
      <c r="B205" t="inlineStr"/>
      <c r="C205" t="inlineStr">
        <is>
          <t>Andreas</t>
        </is>
      </c>
      <c r="D205" t="inlineStr">
        <is>
          <t>SREEYA</t>
        </is>
      </c>
      <c r="E205" t="inlineStr">
        <is>
          <t>PT SREEYA SEWU INDONESIA TBK</t>
        </is>
      </c>
      <c r="F205" t="inlineStr">
        <is>
          <t>L</t>
        </is>
      </c>
      <c r="G205" t="inlineStr">
        <is>
          <t>3.24.00033</t>
        </is>
      </c>
      <c r="H205" t="inlineStr">
        <is>
          <t>Leads</t>
        </is>
      </c>
      <c r="I205" t="n">
        <v>0</v>
      </c>
      <c r="J205" t="n">
        <v>-350</v>
      </c>
      <c r="K205" t="inlineStr">
        <is>
          <t>Reach Truck 1.5 Ton (1 Unit) _ 1 Tahun _ Canvassing awal &amp; Sales Call</t>
        </is>
      </c>
    </row>
    <row r="206">
      <c r="A206" t="inlineStr">
        <is>
          <t>Fuji</t>
        </is>
      </c>
      <c r="B206" t="inlineStr"/>
      <c r="C206" t="inlineStr">
        <is>
          <t>Andreas</t>
        </is>
      </c>
      <c r="D206" t="inlineStr">
        <is>
          <t>NICHIASSUN</t>
        </is>
      </c>
      <c r="E206" t="inlineStr">
        <is>
          <t>NICHIAS SUNIJAYA</t>
        </is>
      </c>
      <c r="F206" t="inlineStr"/>
      <c r="G206" t="inlineStr">
        <is>
          <t>3.24.00115</t>
        </is>
      </c>
      <c r="H206" t="inlineStr">
        <is>
          <t>Leads</t>
        </is>
      </c>
      <c r="I206" t="n">
        <v>0</v>
      </c>
      <c r="J206" t="n">
        <v>-410</v>
      </c>
      <c r="K206" t="inlineStr">
        <is>
          <t>Reach Truck 1.5 Ton (1 Unit) _ 1 Tahun _ Canvassing awal &amp; Sales Call</t>
        </is>
      </c>
    </row>
    <row r="207">
      <c r="A207" t="inlineStr">
        <is>
          <t>Fuji</t>
        </is>
      </c>
      <c r="B207" t="inlineStr"/>
      <c r="C207" t="inlineStr">
        <is>
          <t>Andreas</t>
        </is>
      </c>
      <c r="D207" t="inlineStr">
        <is>
          <t>SATO</t>
        </is>
      </c>
      <c r="E207" t="inlineStr">
        <is>
          <t>SATO LABEL INDONESIA</t>
        </is>
      </c>
      <c r="F207" t="inlineStr"/>
      <c r="G207" t="inlineStr">
        <is>
          <t>3.24.00280</t>
        </is>
      </c>
      <c r="H207" t="inlineStr">
        <is>
          <t>Prospect</t>
        </is>
      </c>
      <c r="I207" t="n">
        <v>90</v>
      </c>
      <c r="J207" t="n">
        <v>270</v>
      </c>
      <c r="K207" t="inlineStr">
        <is>
          <t>Forklift 3 Ton (2 Unit) _ 2 Tahun _ SPH Dikirim ke User</t>
        </is>
      </c>
    </row>
    <row r="208">
      <c r="A208" t="inlineStr">
        <is>
          <t>Fuji</t>
        </is>
      </c>
      <c r="B208" t="inlineStr"/>
      <c r="C208" t="inlineStr">
        <is>
          <t>Andreas</t>
        </is>
      </c>
      <c r="D208" t="inlineStr">
        <is>
          <t>SAMATOR</t>
        </is>
      </c>
      <c r="E208" t="inlineStr">
        <is>
          <t>SAMATOR TAIYO NIPPON SANSO INDONESIA</t>
        </is>
      </c>
      <c r="F208" t="inlineStr"/>
      <c r="G208" t="inlineStr">
        <is>
          <t>3.24.00325</t>
        </is>
      </c>
      <c r="H208" t="inlineStr">
        <is>
          <t>Leads</t>
        </is>
      </c>
      <c r="I208" t="n">
        <v>0</v>
      </c>
      <c r="J208" t="n">
        <v>-321</v>
      </c>
      <c r="K208" t="inlineStr">
        <is>
          <t>Reach Truck 1.5 Ton (1 Unit) _ 1 Tahun _ Canvassing awal &amp; Sales Call</t>
        </is>
      </c>
    </row>
    <row r="209">
      <c r="A209" t="inlineStr">
        <is>
          <t>Fuji</t>
        </is>
      </c>
      <c r="B209" t="inlineStr"/>
      <c r="C209" t="inlineStr">
        <is>
          <t>Andreas</t>
        </is>
      </c>
      <c r="D209" t="inlineStr">
        <is>
          <t>TOKAIRUBER</t>
        </is>
      </c>
      <c r="E209" t="inlineStr">
        <is>
          <t>TOKAI RUBBER AUTO HOSE INDONESIA</t>
        </is>
      </c>
      <c r="F209" t="inlineStr"/>
      <c r="G209" t="inlineStr">
        <is>
          <t>3.24.00338</t>
        </is>
      </c>
      <c r="H209" t="inlineStr">
        <is>
          <t>Leads</t>
        </is>
      </c>
      <c r="I209" t="n">
        <v>0</v>
      </c>
      <c r="J209" t="n">
        <v>-321</v>
      </c>
      <c r="K209" t="inlineStr">
        <is>
          <t>Reach Truck 1.5 Ton (1 Unit) _ 1 Tahun _ Canvassing awal &amp; Sales Call</t>
        </is>
      </c>
    </row>
    <row r="210">
      <c r="A210" t="inlineStr">
        <is>
          <t>Fuji</t>
        </is>
      </c>
      <c r="B210" t="inlineStr"/>
      <c r="C210" t="inlineStr">
        <is>
          <t>Andreas</t>
        </is>
      </c>
      <c r="D210" t="inlineStr">
        <is>
          <t>CHIYODA</t>
        </is>
      </c>
      <c r="E210" t="inlineStr">
        <is>
          <t>CHIYODA INTERNATIONAL INDONESIA</t>
        </is>
      </c>
      <c r="F210" t="inlineStr"/>
      <c r="G210" t="inlineStr">
        <is>
          <t>3.24.00342</t>
        </is>
      </c>
      <c r="H210" t="inlineStr">
        <is>
          <t>Prospect</t>
        </is>
      </c>
      <c r="I210" t="n">
        <v>90</v>
      </c>
      <c r="J210" t="n">
        <v>270</v>
      </c>
      <c r="K210" t="inlineStr">
        <is>
          <t>Forklift 3 Ton (2 Unit) _ 2 Tahun _ SPH Dikirim ke User</t>
        </is>
      </c>
    </row>
    <row r="211">
      <c r="A211" t="inlineStr">
        <is>
          <t>Fuji</t>
        </is>
      </c>
      <c r="B211" t="inlineStr"/>
      <c r="C211" t="inlineStr">
        <is>
          <t>Andreas</t>
        </is>
      </c>
      <c r="D211" t="inlineStr">
        <is>
          <t>NEXCO</t>
        </is>
      </c>
      <c r="E211" t="inlineStr">
        <is>
          <t>NEXCO INDONESIA</t>
        </is>
      </c>
      <c r="F211" t="inlineStr"/>
      <c r="G211" t="inlineStr">
        <is>
          <t>3.24.00413</t>
        </is>
      </c>
      <c r="H211" t="inlineStr">
        <is>
          <t>Prospect</t>
        </is>
      </c>
      <c r="I211" t="n">
        <v>90</v>
      </c>
      <c r="J211" t="n">
        <v>270</v>
      </c>
      <c r="K211" t="inlineStr">
        <is>
          <t>Forklift 3 Ton (2 Unit) _ 2 Tahun _ SPH Dikirim ke User</t>
        </is>
      </c>
    </row>
    <row r="212">
      <c r="A212" t="inlineStr">
        <is>
          <t>Fuji</t>
        </is>
      </c>
      <c r="B212" t="inlineStr"/>
      <c r="C212" t="inlineStr">
        <is>
          <t>Andreas</t>
        </is>
      </c>
      <c r="D212" t="inlineStr">
        <is>
          <t>NITTOH</t>
        </is>
      </c>
      <c r="E212" t="inlineStr">
        <is>
          <t>NITTOH PRESISI INDONESIA</t>
        </is>
      </c>
      <c r="F212" t="inlineStr"/>
      <c r="G212" t="inlineStr">
        <is>
          <t>3.24.00414</t>
        </is>
      </c>
      <c r="H212" t="inlineStr">
        <is>
          <t>Prospect</t>
        </is>
      </c>
      <c r="I212" t="n">
        <v>90</v>
      </c>
      <c r="J212" t="n">
        <v>270</v>
      </c>
      <c r="K212" t="inlineStr">
        <is>
          <t>Forklift 3 Ton (2 Unit) _ 2 Tahun _ SPH Dikirim ke User</t>
        </is>
      </c>
    </row>
    <row r="213">
      <c r="A213" t="inlineStr">
        <is>
          <t>Fuji</t>
        </is>
      </c>
      <c r="B213" t="inlineStr"/>
      <c r="C213" t="inlineStr">
        <is>
          <t>Andreas</t>
        </is>
      </c>
      <c r="D213" t="inlineStr">
        <is>
          <t>TIGAKARUNI</t>
        </is>
      </c>
      <c r="E213" t="inlineStr">
        <is>
          <t>TIGA KARUNIA INDONESIA</t>
        </is>
      </c>
      <c r="F213" t="inlineStr"/>
      <c r="G213" t="inlineStr">
        <is>
          <t>3.25.00023</t>
        </is>
      </c>
      <c r="H213" t="inlineStr">
        <is>
          <t>Leads</t>
        </is>
      </c>
      <c r="I213" t="n">
        <v>0</v>
      </c>
      <c r="J213" t="n">
        <v>-444</v>
      </c>
      <c r="K213" t="inlineStr">
        <is>
          <t>Reach Truck 1.5 Ton (1 Unit) _ 1 Tahun _ Canvassing awal &amp; Sales Call</t>
        </is>
      </c>
    </row>
    <row r="214">
      <c r="A214" t="inlineStr">
        <is>
          <t>Fuji</t>
        </is>
      </c>
      <c r="B214" t="inlineStr"/>
      <c r="C214" t="inlineStr">
        <is>
          <t>Andreas</t>
        </is>
      </c>
      <c r="D214" t="inlineStr">
        <is>
          <t>OMRON</t>
        </is>
      </c>
      <c r="E214" t="inlineStr">
        <is>
          <t>OMRON MANUFACTURING OF INDONESIA</t>
        </is>
      </c>
      <c r="F214" t="inlineStr"/>
      <c r="G214" t="inlineStr">
        <is>
          <t>3.25.00024</t>
        </is>
      </c>
      <c r="H214" t="inlineStr">
        <is>
          <t>Leads</t>
        </is>
      </c>
      <c r="I214" t="n">
        <v>0</v>
      </c>
      <c r="J214" t="n">
        <v>-444</v>
      </c>
      <c r="K214" t="inlineStr">
        <is>
          <t>Reach Truck 1.5 Ton (1 Unit) _ 1 Tahun _ Canvassing awal &amp; Sales Call</t>
        </is>
      </c>
    </row>
    <row r="215">
      <c r="A215" t="inlineStr">
        <is>
          <t>Fuji</t>
        </is>
      </c>
      <c r="B215" t="inlineStr"/>
      <c r="C215" t="inlineStr">
        <is>
          <t>Andreas</t>
        </is>
      </c>
      <c r="D215" t="inlineStr">
        <is>
          <t>HANKYUHAN</t>
        </is>
      </c>
      <c r="E215" t="inlineStr">
        <is>
          <t>HANKYU HANSHIN LOGISTICS INDONESIA</t>
        </is>
      </c>
      <c r="F215" t="inlineStr"/>
      <c r="G215" t="inlineStr">
        <is>
          <t>3.25.00027</t>
        </is>
      </c>
      <c r="H215" t="inlineStr">
        <is>
          <t>Leads</t>
        </is>
      </c>
      <c r="I215" t="n">
        <v>0</v>
      </c>
      <c r="J215" t="n">
        <v>-444</v>
      </c>
      <c r="K215" t="inlineStr">
        <is>
          <t>Reach Truck 1.5 Ton (1 Unit) _ 1 Tahun _ Canvassing awal &amp; Sales Call</t>
        </is>
      </c>
    </row>
    <row r="216">
      <c r="A216" t="inlineStr">
        <is>
          <t>Fuji</t>
        </is>
      </c>
      <c r="B216" t="inlineStr"/>
      <c r="C216" t="inlineStr">
        <is>
          <t>Andreas</t>
        </is>
      </c>
      <c r="D216" t="inlineStr">
        <is>
          <t>BAP</t>
        </is>
      </c>
      <c r="E216" t="inlineStr">
        <is>
          <t>BERLIAN AMAL PERKASA</t>
        </is>
      </c>
      <c r="F216" t="inlineStr">
        <is>
          <t>S</t>
        </is>
      </c>
      <c r="G216" t="inlineStr">
        <is>
          <t>3.25.00043</t>
        </is>
      </c>
      <c r="H216" t="inlineStr">
        <is>
          <t>Leads</t>
        </is>
      </c>
      <c r="I216" t="n">
        <v>0</v>
      </c>
      <c r="J216" t="n">
        <v>-223</v>
      </c>
      <c r="K216" t="inlineStr">
        <is>
          <t>Reach Truck 1.5 Ton (1 Unit) _ 1 Tahun _ Canvassing awal &amp; Sales Call</t>
        </is>
      </c>
    </row>
    <row r="217">
      <c r="A217" t="inlineStr">
        <is>
          <t>Fuji</t>
        </is>
      </c>
      <c r="B217" t="inlineStr"/>
      <c r="C217" t="inlineStr">
        <is>
          <t>Andreas</t>
        </is>
      </c>
      <c r="D217" t="inlineStr">
        <is>
          <t>LCI</t>
        </is>
      </c>
      <c r="E217" t="inlineStr">
        <is>
          <t>PT LEIGHTON CONTRACTORS INDONESIA</t>
        </is>
      </c>
      <c r="F217" t="inlineStr">
        <is>
          <t>M</t>
        </is>
      </c>
      <c r="G217" t="inlineStr">
        <is>
          <t>3.25.00044</t>
        </is>
      </c>
      <c r="H217" t="inlineStr">
        <is>
          <t>Leads</t>
        </is>
      </c>
      <c r="I217" t="n">
        <v>0</v>
      </c>
      <c r="J217" t="n">
        <v>-440</v>
      </c>
      <c r="K217" t="inlineStr">
        <is>
          <t>Reach Truck 1.5 Ton (1 Unit) _ 1 Tahun _ Canvassing awal &amp; Sales Call</t>
        </is>
      </c>
    </row>
    <row r="218">
      <c r="A218" t="inlineStr">
        <is>
          <t>Fuji</t>
        </is>
      </c>
      <c r="B218" t="inlineStr"/>
      <c r="C218" t="inlineStr">
        <is>
          <t>Andreas</t>
        </is>
      </c>
      <c r="D218" t="inlineStr">
        <is>
          <t>KEWPIEIND</t>
        </is>
      </c>
      <c r="E218" t="inlineStr">
        <is>
          <t>KEWPIE INDONESIA</t>
        </is>
      </c>
      <c r="F218" t="inlineStr"/>
      <c r="G218" t="inlineStr">
        <is>
          <t>3.25.00053</t>
        </is>
      </c>
      <c r="H218" t="inlineStr">
        <is>
          <t>Leads</t>
        </is>
      </c>
      <c r="I218" t="n">
        <v>0</v>
      </c>
      <c r="J218" t="n">
        <v>-439</v>
      </c>
      <c r="K218" t="inlineStr">
        <is>
          <t>Reach Truck 1.5 Ton (1 Unit) _ 1 Tahun _ Canvassing awal &amp; Sales Call</t>
        </is>
      </c>
    </row>
    <row r="219">
      <c r="A219" t="inlineStr">
        <is>
          <t>Fuji</t>
        </is>
      </c>
      <c r="B219" t="inlineStr"/>
      <c r="C219" t="inlineStr">
        <is>
          <t>Andreas</t>
        </is>
      </c>
      <c r="D219" t="inlineStr">
        <is>
          <t>HANKEN</t>
        </is>
      </c>
      <c r="E219" t="inlineStr">
        <is>
          <t>HANKEN INDONESIA</t>
        </is>
      </c>
      <c r="F219" t="inlineStr"/>
      <c r="G219" t="inlineStr">
        <is>
          <t>3.25.00060</t>
        </is>
      </c>
      <c r="H219" t="inlineStr">
        <is>
          <t>Leads</t>
        </is>
      </c>
      <c r="I219" t="n">
        <v>0</v>
      </c>
      <c r="J219" t="n">
        <v>-438</v>
      </c>
      <c r="K219" t="inlineStr">
        <is>
          <t>Reach Truck 1.5 Ton (1 Unit) _ 1 Tahun _ Canvassing awal &amp; Sales Call</t>
        </is>
      </c>
    </row>
    <row r="220">
      <c r="A220" t="inlineStr">
        <is>
          <t>Fuji</t>
        </is>
      </c>
      <c r="B220" t="inlineStr"/>
      <c r="C220" t="inlineStr">
        <is>
          <t>Andreas</t>
        </is>
      </c>
      <c r="D220" t="inlineStr">
        <is>
          <t>CARDSINDO</t>
        </is>
      </c>
      <c r="E220" t="inlineStr">
        <is>
          <t>CARDSINDO TIGA PERKASA</t>
        </is>
      </c>
      <c r="F220" t="inlineStr">
        <is>
          <t>S</t>
        </is>
      </c>
      <c r="G220" t="inlineStr">
        <is>
          <t>3.25.00061</t>
        </is>
      </c>
      <c r="H220" t="inlineStr">
        <is>
          <t>Leads</t>
        </is>
      </c>
      <c r="I220" t="n">
        <v>0</v>
      </c>
      <c r="J220" t="n">
        <v>-438</v>
      </c>
      <c r="K220" t="inlineStr">
        <is>
          <t>Reach Truck 1.5 Ton (1 Unit) _ 1 Tahun _ Canvassing awal &amp; Sales Call</t>
        </is>
      </c>
    </row>
    <row r="221">
      <c r="A221" t="inlineStr">
        <is>
          <t>Fuji</t>
        </is>
      </c>
      <c r="B221" t="inlineStr"/>
      <c r="C221" t="inlineStr">
        <is>
          <t>Andreas</t>
        </is>
      </c>
      <c r="D221" t="inlineStr">
        <is>
          <t>KAWAJUN</t>
        </is>
      </c>
      <c r="E221" t="inlineStr">
        <is>
          <t>KAWAJUN INDONESIA</t>
        </is>
      </c>
      <c r="F221" t="inlineStr"/>
      <c r="G221" t="inlineStr">
        <is>
          <t>3.25.00062</t>
        </is>
      </c>
      <c r="H221" t="inlineStr">
        <is>
          <t>Leads</t>
        </is>
      </c>
      <c r="I221" t="n">
        <v>0</v>
      </c>
      <c r="J221" t="n">
        <v>-437</v>
      </c>
      <c r="K221" t="inlineStr">
        <is>
          <t>Reach Truck 1.5 Ton (1 Unit) _ 1 Tahun _ Canvassing awal &amp; Sales Call</t>
        </is>
      </c>
    </row>
    <row r="222">
      <c r="A222" t="inlineStr">
        <is>
          <t>Fuji</t>
        </is>
      </c>
      <c r="B222" t="inlineStr"/>
      <c r="C222" t="inlineStr">
        <is>
          <t>Andreas</t>
        </is>
      </c>
      <c r="D222" t="inlineStr">
        <is>
          <t>ATI</t>
        </is>
      </c>
      <c r="E222" t="inlineStr">
        <is>
          <t>AT INDONESIA</t>
        </is>
      </c>
      <c r="F222" t="inlineStr"/>
      <c r="G222" t="inlineStr">
        <is>
          <t>3.25.00077</t>
        </is>
      </c>
      <c r="H222" t="inlineStr">
        <is>
          <t>Leads</t>
        </is>
      </c>
      <c r="I222" t="n">
        <v>0</v>
      </c>
      <c r="J222" t="n">
        <v>163</v>
      </c>
      <c r="K222" t="inlineStr">
        <is>
          <t>Reach Truck 1.5 Ton (1 Unit) _ 1 Tahun _ Canvassing awal &amp; Sales Call</t>
        </is>
      </c>
    </row>
    <row r="223">
      <c r="A223" t="inlineStr">
        <is>
          <t>Fuji</t>
        </is>
      </c>
      <c r="B223" t="inlineStr"/>
      <c r="C223" t="inlineStr">
        <is>
          <t>Andreas</t>
        </is>
      </c>
      <c r="D223" t="inlineStr">
        <is>
          <t>NOVONORDIS</t>
        </is>
      </c>
      <c r="E223" t="inlineStr">
        <is>
          <t>NOVO NORDISK INDONESIA</t>
        </is>
      </c>
      <c r="F223" t="inlineStr">
        <is>
          <t>S</t>
        </is>
      </c>
      <c r="G223" t="inlineStr">
        <is>
          <t>3.25.00095</t>
        </is>
      </c>
      <c r="H223" t="inlineStr">
        <is>
          <t>Leads</t>
        </is>
      </c>
      <c r="I223" t="n">
        <v>0</v>
      </c>
      <c r="J223" t="n">
        <v>-431</v>
      </c>
      <c r="K223" t="inlineStr">
        <is>
          <t>Reach Truck 1.5 Ton (1 Unit) _ 1 Tahun _ Canvassing awal &amp; Sales Call</t>
        </is>
      </c>
    </row>
    <row r="224">
      <c r="A224" t="inlineStr">
        <is>
          <t>Fuji</t>
        </is>
      </c>
      <c r="B224" t="inlineStr"/>
      <c r="C224" t="inlineStr">
        <is>
          <t>Andreas</t>
        </is>
      </c>
      <c r="D224" t="inlineStr">
        <is>
          <t>PAYFAZZ</t>
        </is>
      </c>
      <c r="E224" t="inlineStr">
        <is>
          <t>PAYFAZZ TEKNOLOGI NUSANTARA</t>
        </is>
      </c>
      <c r="F224" t="inlineStr"/>
      <c r="G224" t="inlineStr">
        <is>
          <t>3.25.00096</t>
        </is>
      </c>
      <c r="H224" t="inlineStr">
        <is>
          <t>Leads</t>
        </is>
      </c>
      <c r="I224" t="n">
        <v>0</v>
      </c>
      <c r="J224" t="n">
        <v>-251</v>
      </c>
      <c r="K224" t="inlineStr">
        <is>
          <t>Reach Truck 1.5 Ton (1 Unit) _ 1 Tahun _ Canvassing awal &amp; Sales Call</t>
        </is>
      </c>
    </row>
    <row r="225">
      <c r="A225" t="inlineStr">
        <is>
          <t>Fuji</t>
        </is>
      </c>
      <c r="B225" t="inlineStr"/>
      <c r="C225" t="inlineStr">
        <is>
          <t>Andreas</t>
        </is>
      </c>
      <c r="D225" t="inlineStr">
        <is>
          <t>KUARTA</t>
        </is>
      </c>
      <c r="E225" t="inlineStr">
        <is>
          <t>PT KUARTA POWERINDO PERKASA</t>
        </is>
      </c>
      <c r="F225" t="inlineStr">
        <is>
          <t>L</t>
        </is>
      </c>
      <c r="G225" t="inlineStr">
        <is>
          <t>3.25.00101</t>
        </is>
      </c>
      <c r="H225" t="inlineStr">
        <is>
          <t>Leads</t>
        </is>
      </c>
      <c r="I225" t="n">
        <v>0</v>
      </c>
      <c r="J225" t="n">
        <v>50</v>
      </c>
      <c r="K225" t="inlineStr">
        <is>
          <t>Reach Truck 1.5 Ton (1 Unit) _ 1 Tahun _ Canvassing awal &amp; Sales Call</t>
        </is>
      </c>
    </row>
    <row r="226">
      <c r="A226" t="inlineStr">
        <is>
          <t>Fuji</t>
        </is>
      </c>
      <c r="B226" t="inlineStr"/>
      <c r="C226" t="inlineStr">
        <is>
          <t>Andreas</t>
        </is>
      </c>
      <c r="D226" t="inlineStr">
        <is>
          <t>AJEINDO</t>
        </is>
      </c>
      <c r="E226" t="inlineStr">
        <is>
          <t>AJE INDONESIA</t>
        </is>
      </c>
      <c r="F226" t="inlineStr">
        <is>
          <t>S</t>
        </is>
      </c>
      <c r="G226" t="inlineStr">
        <is>
          <t>3.25.00103</t>
        </is>
      </c>
      <c r="H226" t="inlineStr">
        <is>
          <t>Leads</t>
        </is>
      </c>
      <c r="I226" t="n">
        <v>0</v>
      </c>
      <c r="J226" t="n">
        <v>-320</v>
      </c>
      <c r="K226" t="inlineStr">
        <is>
          <t>Reach Truck 1.5 Ton (1 Unit) _ 1 Tahun _ Canvassing awal &amp; Sales Call</t>
        </is>
      </c>
    </row>
    <row r="227">
      <c r="A227" t="inlineStr">
        <is>
          <t>Fuji</t>
        </is>
      </c>
      <c r="B227" t="inlineStr"/>
      <c r="C227" t="inlineStr">
        <is>
          <t>Andreas</t>
        </is>
      </c>
      <c r="D227" t="inlineStr">
        <is>
          <t>ASI</t>
        </is>
      </c>
      <c r="E227" t="inlineStr">
        <is>
          <t>AMERICAN STANDARD INDONESIA</t>
        </is>
      </c>
      <c r="F227" t="inlineStr"/>
      <c r="G227" t="inlineStr">
        <is>
          <t>3.25.00116</t>
        </is>
      </c>
      <c r="H227" t="inlineStr">
        <is>
          <t>Leads</t>
        </is>
      </c>
      <c r="I227" t="n">
        <v>0</v>
      </c>
      <c r="J227" t="n">
        <v>-314</v>
      </c>
      <c r="K227" t="inlineStr">
        <is>
          <t>Reach Truck 1.5 Ton (1 Unit) _ 1 Tahun _ Canvassing awal &amp; Sales Call</t>
        </is>
      </c>
    </row>
    <row r="228">
      <c r="A228" t="inlineStr">
        <is>
          <t>Fuji</t>
        </is>
      </c>
      <c r="B228" t="inlineStr"/>
      <c r="C228" t="inlineStr">
        <is>
          <t>Andreas</t>
        </is>
      </c>
      <c r="D228" t="inlineStr">
        <is>
          <t>MASSINDO</t>
        </is>
      </c>
      <c r="E228" t="inlineStr">
        <is>
          <t>MASSINDO INTERNATIONAL</t>
        </is>
      </c>
      <c r="F228" t="inlineStr"/>
      <c r="G228" t="inlineStr">
        <is>
          <t>3.25.00123</t>
        </is>
      </c>
      <c r="H228" t="inlineStr">
        <is>
          <t>Leads</t>
        </is>
      </c>
      <c r="I228" t="n">
        <v>0</v>
      </c>
      <c r="J228" t="n">
        <v>-399</v>
      </c>
      <c r="K228" t="inlineStr">
        <is>
          <t>Reach Truck 1.5 Ton (1 Unit) _ 1 Tahun _ Canvassing awal &amp; Sales Call</t>
        </is>
      </c>
    </row>
    <row r="229">
      <c r="A229" t="inlineStr">
        <is>
          <t>Fuji</t>
        </is>
      </c>
      <c r="B229" t="inlineStr"/>
      <c r="C229" t="inlineStr">
        <is>
          <t>Andreas</t>
        </is>
      </c>
      <c r="D229" t="inlineStr">
        <is>
          <t>MASSINDO</t>
        </is>
      </c>
      <c r="E229" t="inlineStr">
        <is>
          <t>MASSINDO INTERNATIONAL</t>
        </is>
      </c>
      <c r="F229" t="inlineStr"/>
      <c r="G229" t="inlineStr">
        <is>
          <t>3.25.00128</t>
        </is>
      </c>
      <c r="H229" t="inlineStr">
        <is>
          <t>Leads</t>
        </is>
      </c>
      <c r="I229" t="n">
        <v>0</v>
      </c>
      <c r="J229" t="n">
        <v>-412</v>
      </c>
      <c r="K229" t="inlineStr">
        <is>
          <t>Reach Truck 1.5 Ton (1 Unit) _ 1 Tahun _ Canvassing awal &amp; Sales Call</t>
        </is>
      </c>
    </row>
    <row r="230">
      <c r="A230" t="inlineStr">
        <is>
          <t>Fuji</t>
        </is>
      </c>
      <c r="B230" t="inlineStr"/>
      <c r="C230" t="inlineStr">
        <is>
          <t>Andreas</t>
        </is>
      </c>
      <c r="D230" t="inlineStr">
        <is>
          <t>PERMAKARJA</t>
        </is>
      </c>
      <c r="E230" t="inlineStr">
        <is>
          <t>PT PERMATA KARYA JASA</t>
        </is>
      </c>
      <c r="F230" t="inlineStr">
        <is>
          <t>L</t>
        </is>
      </c>
      <c r="G230" t="inlineStr">
        <is>
          <t>3.25.00133</t>
        </is>
      </c>
      <c r="H230" t="inlineStr">
        <is>
          <t>Leads</t>
        </is>
      </c>
      <c r="I230" t="n">
        <v>0</v>
      </c>
      <c r="J230" t="n">
        <v>-306</v>
      </c>
      <c r="K230" t="inlineStr">
        <is>
          <t>Reach Truck 1.5 Ton (1 Unit) _ 1 Tahun _ Canvassing awal &amp; Sales Call</t>
        </is>
      </c>
    </row>
    <row r="231">
      <c r="A231" t="inlineStr">
        <is>
          <t>Fuji</t>
        </is>
      </c>
      <c r="B231" t="inlineStr"/>
      <c r="C231" t="inlineStr">
        <is>
          <t>Andreas</t>
        </is>
      </c>
      <c r="D231" t="inlineStr">
        <is>
          <t>BOGA</t>
        </is>
      </c>
      <c r="E231" t="inlineStr">
        <is>
          <t>PT KOBE BOGA UTAMA</t>
        </is>
      </c>
      <c r="F231" t="inlineStr">
        <is>
          <t>L</t>
        </is>
      </c>
      <c r="G231" t="inlineStr">
        <is>
          <t>3.25.00155</t>
        </is>
      </c>
      <c r="H231" t="inlineStr">
        <is>
          <t>Leads</t>
        </is>
      </c>
      <c r="I231" t="n">
        <v>0</v>
      </c>
      <c r="J231" t="n">
        <v>-314</v>
      </c>
      <c r="K231" t="inlineStr">
        <is>
          <t>Reach Truck 1.5 Ton (1 Unit) _ 1 Tahun _ Canvassing awal &amp; Sales Call</t>
        </is>
      </c>
    </row>
    <row r="232">
      <c r="A232" t="inlineStr">
        <is>
          <t>Fuji</t>
        </is>
      </c>
      <c r="B232" t="inlineStr"/>
      <c r="C232" t="inlineStr">
        <is>
          <t>Andreas</t>
        </is>
      </c>
      <c r="D232" t="inlineStr">
        <is>
          <t>AZBERIND</t>
        </is>
      </c>
      <c r="E232" t="inlineStr">
        <is>
          <t>PT AZBIL BERCA INDONESIA</t>
        </is>
      </c>
      <c r="F232" t="inlineStr">
        <is>
          <t>L</t>
        </is>
      </c>
      <c r="G232" t="inlineStr">
        <is>
          <t>3.25.00174</t>
        </is>
      </c>
      <c r="H232" t="inlineStr">
        <is>
          <t>Leads</t>
        </is>
      </c>
      <c r="I232" t="n">
        <v>0</v>
      </c>
      <c r="J232" t="n">
        <v>-230</v>
      </c>
      <c r="K232" t="inlineStr">
        <is>
          <t>Reach Truck 1.5 Ton (1 Unit) _ 1 Tahun _ Canvassing awal &amp; Sales Call</t>
        </is>
      </c>
    </row>
    <row r="233">
      <c r="A233" t="inlineStr">
        <is>
          <t>Fuji</t>
        </is>
      </c>
      <c r="B233" t="inlineStr"/>
      <c r="C233" t="inlineStr">
        <is>
          <t>Andreas</t>
        </is>
      </c>
      <c r="D233" t="inlineStr">
        <is>
          <t>PAN</t>
        </is>
      </c>
      <c r="E233" t="inlineStr">
        <is>
          <t>PT PANTJA ARTHA NIAGA</t>
        </is>
      </c>
      <c r="F233" t="inlineStr">
        <is>
          <t>L</t>
        </is>
      </c>
      <c r="G233" t="inlineStr">
        <is>
          <t>3.25.00215</t>
        </is>
      </c>
      <c r="H233" t="inlineStr">
        <is>
          <t>Leads</t>
        </is>
      </c>
      <c r="I233" t="n">
        <v>0</v>
      </c>
      <c r="J233" t="n">
        <v>25</v>
      </c>
      <c r="K233" t="inlineStr">
        <is>
          <t>Reach Truck 1.5 Ton (1 Unit) _ 1 Tahun _ Canvassing awal &amp; Sales Call</t>
        </is>
      </c>
    </row>
    <row r="234">
      <c r="A234" t="inlineStr">
        <is>
          <t>Fuji</t>
        </is>
      </c>
      <c r="B234" t="inlineStr"/>
      <c r="C234" t="inlineStr">
        <is>
          <t>Andreas</t>
        </is>
      </c>
      <c r="D234" t="inlineStr">
        <is>
          <t>CIPTABANG</t>
        </is>
      </c>
      <c r="E234" t="inlineStr">
        <is>
          <t>CIPTA BANGUN NUSANTARA</t>
        </is>
      </c>
      <c r="F234" t="inlineStr"/>
      <c r="G234" t="inlineStr">
        <is>
          <t>3.25.00216</t>
        </is>
      </c>
      <c r="H234" t="inlineStr">
        <is>
          <t>Leads</t>
        </is>
      </c>
      <c r="I234" t="n">
        <v>0</v>
      </c>
      <c r="J234" t="n">
        <v>-304</v>
      </c>
      <c r="K234" t="inlineStr">
        <is>
          <t>Reach Truck 1.5 Ton (1 Unit) _ 1 Tahun _ Canvassing awal &amp; Sales Call</t>
        </is>
      </c>
    </row>
    <row r="235">
      <c r="A235" t="inlineStr">
        <is>
          <t>Fuji</t>
        </is>
      </c>
      <c r="B235" t="inlineStr"/>
      <c r="C235" t="inlineStr">
        <is>
          <t>Andreas</t>
        </is>
      </c>
      <c r="D235" t="inlineStr">
        <is>
          <t>FONTBRAND</t>
        </is>
      </c>
      <c r="E235" t="inlineStr">
        <is>
          <t>PT FONTERRA BRANDS INDONESIA</t>
        </is>
      </c>
      <c r="F235" t="inlineStr">
        <is>
          <t>S</t>
        </is>
      </c>
      <c r="G235" t="inlineStr">
        <is>
          <t>3.25.00273</t>
        </is>
      </c>
      <c r="H235" t="inlineStr">
        <is>
          <t>Leads</t>
        </is>
      </c>
      <c r="I235" t="n">
        <v>0</v>
      </c>
      <c r="J235" t="n">
        <v>-293</v>
      </c>
      <c r="K235" t="inlineStr">
        <is>
          <t>Reach Truck 1.5 Ton (1 Unit) _ 1 Tahun _ Canvassing awal &amp; Sales Call</t>
        </is>
      </c>
    </row>
    <row r="236">
      <c r="A236" t="inlineStr">
        <is>
          <t>Fuji</t>
        </is>
      </c>
      <c r="B236" t="inlineStr"/>
      <c r="C236" t="inlineStr">
        <is>
          <t>Andreas</t>
        </is>
      </c>
      <c r="D236" t="inlineStr">
        <is>
          <t>REASNI</t>
        </is>
      </c>
      <c r="E236" t="inlineStr">
        <is>
          <t>PT REASURANSI NASIONAL INDONESIA</t>
        </is>
      </c>
      <c r="F236" t="inlineStr">
        <is>
          <t>L</t>
        </is>
      </c>
      <c r="G236" t="inlineStr">
        <is>
          <t>3.25.00278</t>
        </is>
      </c>
      <c r="H236" t="inlineStr">
        <is>
          <t>Leads</t>
        </is>
      </c>
      <c r="I236" t="n">
        <v>0</v>
      </c>
      <c r="J236" t="n">
        <v>-195</v>
      </c>
      <c r="K236" t="inlineStr">
        <is>
          <t>Reach Truck 1.5 Ton (1 Unit) _ 1 Tahun _ Canvassing awal &amp; Sales Call</t>
        </is>
      </c>
    </row>
    <row r="237">
      <c r="A237" t="inlineStr">
        <is>
          <t>Fuji</t>
        </is>
      </c>
      <c r="B237" t="inlineStr"/>
      <c r="C237" t="inlineStr">
        <is>
          <t>Andreas</t>
        </is>
      </c>
      <c r="D237" t="inlineStr">
        <is>
          <t>MACROSENNI</t>
        </is>
      </c>
      <c r="E237" t="inlineStr">
        <is>
          <t>MACROSENTRA NIAGABOGA</t>
        </is>
      </c>
      <c r="F237" t="inlineStr"/>
      <c r="G237" t="inlineStr">
        <is>
          <t>3.25.00307</t>
        </is>
      </c>
      <c r="H237" t="inlineStr">
        <is>
          <t>Leads</t>
        </is>
      </c>
      <c r="I237" t="n">
        <v>0</v>
      </c>
      <c r="J237" t="n">
        <v>-285</v>
      </c>
      <c r="K237" t="inlineStr">
        <is>
          <t>Reach Truck 1.5 Ton (1 Unit) _ 1 Tahun _ Canvassing awal &amp; Sales Call</t>
        </is>
      </c>
    </row>
    <row r="238">
      <c r="A238" t="inlineStr">
        <is>
          <t>Fuji</t>
        </is>
      </c>
      <c r="B238" t="inlineStr"/>
      <c r="C238" t="inlineStr">
        <is>
          <t>Andreas</t>
        </is>
      </c>
      <c r="D238" t="inlineStr">
        <is>
          <t>TOYOTABOS</t>
        </is>
      </c>
      <c r="E238" t="inlineStr">
        <is>
          <t>PT TOYOTA BOSHOKU DEVICE INDONESIA</t>
        </is>
      </c>
      <c r="F238" t="inlineStr">
        <is>
          <t>M</t>
        </is>
      </c>
      <c r="G238" t="inlineStr">
        <is>
          <t>7.25.00001</t>
        </is>
      </c>
      <c r="H238" t="inlineStr">
        <is>
          <t>Leads</t>
        </is>
      </c>
      <c r="I238" t="n">
        <v>0</v>
      </c>
      <c r="J238" t="n">
        <v>-280</v>
      </c>
      <c r="K238" t="inlineStr">
        <is>
          <t>Reach Truck 1.5 Ton (1 Unit) _ 1 Tahun _ Canvassing awal &amp; Sales Call</t>
        </is>
      </c>
    </row>
    <row r="239">
      <c r="A239" t="inlineStr">
        <is>
          <t>Fuji</t>
        </is>
      </c>
      <c r="B239" t="inlineStr"/>
      <c r="C239" t="inlineStr">
        <is>
          <t>Andreas</t>
        </is>
      </c>
      <c r="D239" t="inlineStr">
        <is>
          <t>PANMEDAN</t>
        </is>
      </c>
      <c r="E239" t="inlineStr">
        <is>
          <t>PT PUTRA ARTHA NUSA</t>
        </is>
      </c>
      <c r="F239" t="inlineStr">
        <is>
          <t>M</t>
        </is>
      </c>
      <c r="G239" t="inlineStr">
        <is>
          <t>7.25.00003</t>
        </is>
      </c>
      <c r="H239" t="inlineStr">
        <is>
          <t>Leads</t>
        </is>
      </c>
      <c r="I239" t="n">
        <v>0</v>
      </c>
      <c r="J239" t="n">
        <v>91</v>
      </c>
      <c r="K239" t="inlineStr">
        <is>
          <t>Reach Truck 1.5 Ton (1 Unit) _ 1 Tahun _ Canvassing awal &amp; Sales Call</t>
        </is>
      </c>
    </row>
    <row r="240">
      <c r="A240" t="inlineStr">
        <is>
          <t>Fuji</t>
        </is>
      </c>
      <c r="B240" t="inlineStr"/>
      <c r="C240" t="inlineStr">
        <is>
          <t>Andreas</t>
        </is>
      </c>
      <c r="D240" t="inlineStr">
        <is>
          <t>BNPSEKURIT</t>
        </is>
      </c>
      <c r="E240" t="inlineStr">
        <is>
          <t>PT BNP PARIBAS SEKURITAS INDONESIA</t>
        </is>
      </c>
      <c r="F240" t="inlineStr">
        <is>
          <t>L</t>
        </is>
      </c>
      <c r="G240" t="inlineStr">
        <is>
          <t>7.25.00032</t>
        </is>
      </c>
      <c r="H240" t="inlineStr">
        <is>
          <t>Leads</t>
        </is>
      </c>
      <c r="I240" t="n">
        <v>0</v>
      </c>
      <c r="J240" t="n">
        <v>-249</v>
      </c>
      <c r="K240" t="inlineStr">
        <is>
          <t>Reach Truck 1.5 Ton (1 Unit) _ 1 Tahun _ Canvassing awal &amp; Sales Call</t>
        </is>
      </c>
    </row>
    <row r="241">
      <c r="A241" t="inlineStr">
        <is>
          <t>Fuji</t>
        </is>
      </c>
      <c r="B241" t="inlineStr"/>
      <c r="C241" t="inlineStr">
        <is>
          <t>Andreas</t>
        </is>
      </c>
      <c r="D241" t="inlineStr">
        <is>
          <t>PSA</t>
        </is>
      </c>
      <c r="E241" t="inlineStr">
        <is>
          <t>PSA CARGO SOLUTIONS INDONESIA</t>
        </is>
      </c>
      <c r="F241" t="inlineStr"/>
      <c r="G241" t="inlineStr">
        <is>
          <t>7.25.00041</t>
        </is>
      </c>
      <c r="H241" t="inlineStr">
        <is>
          <t>Leads</t>
        </is>
      </c>
      <c r="I241" t="n">
        <v>0</v>
      </c>
      <c r="J241" t="n">
        <v>-342</v>
      </c>
      <c r="K241" t="inlineStr">
        <is>
          <t>Reach Truck 1.5 Ton (1 Unit) _ 1 Tahun _ Canvassing awal &amp; Sales Call</t>
        </is>
      </c>
    </row>
    <row r="242">
      <c r="A242" t="inlineStr">
        <is>
          <t>Fuji</t>
        </is>
      </c>
      <c r="B242" t="inlineStr"/>
      <c r="C242" t="inlineStr">
        <is>
          <t>Andreas</t>
        </is>
      </c>
      <c r="D242" t="inlineStr">
        <is>
          <t>MANDAU</t>
        </is>
      </c>
      <c r="E242" t="inlineStr">
        <is>
          <t>PT MANDIRI DAYA UTAMA NUSANTARA</t>
        </is>
      </c>
      <c r="F242" t="inlineStr">
        <is>
          <t>L</t>
        </is>
      </c>
      <c r="G242" t="inlineStr">
        <is>
          <t>7.25.00042</t>
        </is>
      </c>
      <c r="H242" t="inlineStr">
        <is>
          <t>Leads</t>
        </is>
      </c>
      <c r="I242" t="n">
        <v>0</v>
      </c>
      <c r="J242" t="n">
        <v>-342</v>
      </c>
      <c r="K242" t="inlineStr">
        <is>
          <t>Reach Truck 1.5 Ton (1 Unit) _ 1 Tahun _ Canvassing awal &amp; Sales Call</t>
        </is>
      </c>
    </row>
    <row r="243">
      <c r="A243" t="inlineStr">
        <is>
          <t>Fuji</t>
        </is>
      </c>
      <c r="B243" t="inlineStr"/>
      <c r="C243" t="inlineStr">
        <is>
          <t>Andreas</t>
        </is>
      </c>
      <c r="D243" t="inlineStr">
        <is>
          <t>AZBERIND</t>
        </is>
      </c>
      <c r="E243" t="inlineStr">
        <is>
          <t>PT AZBIL BERCA INDONESIA</t>
        </is>
      </c>
      <c r="F243" t="inlineStr">
        <is>
          <t>L</t>
        </is>
      </c>
      <c r="G243" t="inlineStr">
        <is>
          <t>7.25.00051</t>
        </is>
      </c>
      <c r="H243" t="inlineStr">
        <is>
          <t>Leads</t>
        </is>
      </c>
      <c r="I243" t="n">
        <v>0</v>
      </c>
      <c r="J243" t="n">
        <v>-18</v>
      </c>
      <c r="K243" t="inlineStr">
        <is>
          <t>Reach Truck 1.5 Ton (1 Unit) _ 1 Tahun _ Canvassing awal &amp; Sales Call</t>
        </is>
      </c>
    </row>
    <row r="244">
      <c r="A244" t="inlineStr">
        <is>
          <t>Fuji</t>
        </is>
      </c>
      <c r="B244" t="inlineStr"/>
      <c r="C244" t="inlineStr">
        <is>
          <t>Andreas</t>
        </is>
      </c>
      <c r="D244" t="inlineStr">
        <is>
          <t>BNPSEKURIT</t>
        </is>
      </c>
      <c r="E244" t="inlineStr">
        <is>
          <t>PT BNP PARIBAS SEKURITAS INDONESIA</t>
        </is>
      </c>
      <c r="F244" t="inlineStr">
        <is>
          <t>L</t>
        </is>
      </c>
      <c r="G244" t="inlineStr">
        <is>
          <t>7.25.00052</t>
        </is>
      </c>
      <c r="H244" t="inlineStr">
        <is>
          <t>Leads</t>
        </is>
      </c>
      <c r="I244" t="n">
        <v>0</v>
      </c>
      <c r="J244" t="n">
        <v>14</v>
      </c>
      <c r="K244" t="inlineStr">
        <is>
          <t>Reach Truck 1.5 Ton (1 Unit) _ 1 Tahun _ Canvassing awal &amp; Sales Call</t>
        </is>
      </c>
    </row>
    <row r="245">
      <c r="A245" t="inlineStr">
        <is>
          <t>Fuji</t>
        </is>
      </c>
      <c r="B245" t="inlineStr"/>
      <c r="C245" t="inlineStr">
        <is>
          <t>Andreas</t>
        </is>
      </c>
      <c r="D245" t="inlineStr">
        <is>
          <t>FOTS</t>
        </is>
      </c>
      <c r="E245" t="inlineStr">
        <is>
          <t>PT FRESH ON TIME SEAFOOD</t>
        </is>
      </c>
      <c r="F245" t="inlineStr">
        <is>
          <t>L</t>
        </is>
      </c>
      <c r="G245" t="inlineStr">
        <is>
          <t>7.25.00053</t>
        </is>
      </c>
      <c r="H245" t="inlineStr">
        <is>
          <t>Prospect</t>
        </is>
      </c>
      <c r="I245" t="n">
        <v>78</v>
      </c>
      <c r="J245" t="n">
        <v>258</v>
      </c>
      <c r="K245" t="inlineStr">
        <is>
          <t>Forklift 3 Ton (2 Unit) _ 2 Tahun _ SPH Dikirim ke User</t>
        </is>
      </c>
    </row>
    <row r="246">
      <c r="A246" t="inlineStr">
        <is>
          <t>Fuji</t>
        </is>
      </c>
      <c r="B246" t="inlineStr"/>
      <c r="C246" t="inlineStr">
        <is>
          <t>Andreas</t>
        </is>
      </c>
      <c r="D246" t="inlineStr">
        <is>
          <t>SREEYA</t>
        </is>
      </c>
      <c r="E246" t="inlineStr">
        <is>
          <t>PT SREEYA SEWU INDONESIA TBK</t>
        </is>
      </c>
      <c r="F246" t="inlineStr">
        <is>
          <t>L</t>
        </is>
      </c>
      <c r="G246" t="inlineStr">
        <is>
          <t>7.25.00054</t>
        </is>
      </c>
      <c r="H246" t="inlineStr">
        <is>
          <t>Leads</t>
        </is>
      </c>
      <c r="I246" t="n">
        <v>0</v>
      </c>
      <c r="J246" t="n">
        <v>-223</v>
      </c>
      <c r="K246" t="inlineStr">
        <is>
          <t>Reach Truck 1.5 Ton (1 Unit) _ 1 Tahun _ Canvassing awal &amp; Sales Call</t>
        </is>
      </c>
    </row>
    <row r="247">
      <c r="A247" t="inlineStr">
        <is>
          <t>Fuji</t>
        </is>
      </c>
      <c r="B247" t="inlineStr"/>
      <c r="C247" t="inlineStr">
        <is>
          <t>Andreas</t>
        </is>
      </c>
      <c r="D247" t="inlineStr">
        <is>
          <t>PAYFAZZ</t>
        </is>
      </c>
      <c r="E247" t="inlineStr">
        <is>
          <t>PAYFAZZ TEKNOLOGI NUSANTARA</t>
        </is>
      </c>
      <c r="F247" t="inlineStr"/>
      <c r="G247" t="inlineStr">
        <is>
          <t>7.25.00055</t>
        </is>
      </c>
      <c r="H247" t="inlineStr">
        <is>
          <t>Leads</t>
        </is>
      </c>
      <c r="I247" t="n">
        <v>0</v>
      </c>
      <c r="J247" t="n">
        <v>-249</v>
      </c>
      <c r="K247" t="inlineStr">
        <is>
          <t>Reach Truck 1.5 Ton (1 Unit) _ 1 Tahun _ Canvassing awal &amp; Sales Call</t>
        </is>
      </c>
    </row>
    <row r="248">
      <c r="A248" t="inlineStr">
        <is>
          <t>Fuji</t>
        </is>
      </c>
      <c r="B248" t="inlineStr"/>
      <c r="C248" t="inlineStr">
        <is>
          <t>Andreas</t>
        </is>
      </c>
      <c r="D248" t="inlineStr">
        <is>
          <t>IPM</t>
        </is>
      </c>
      <c r="E248" t="inlineStr">
        <is>
          <t>PT INTERNATIONAL PACKAGING MANUFACTURING</t>
        </is>
      </c>
      <c r="F248" t="inlineStr">
        <is>
          <t>L</t>
        </is>
      </c>
      <c r="G248" t="inlineStr">
        <is>
          <t>7.25.00071</t>
        </is>
      </c>
      <c r="H248" t="inlineStr">
        <is>
          <t>Leads</t>
        </is>
      </c>
      <c r="I248" t="n">
        <v>0</v>
      </c>
      <c r="J248" t="n">
        <v>16</v>
      </c>
      <c r="K248" t="inlineStr">
        <is>
          <t>Reach Truck 1.5 Ton (1 Unit) _ 1 Tahun _ Canvassing awal &amp; Sales Call</t>
        </is>
      </c>
    </row>
    <row r="249">
      <c r="A249" t="inlineStr">
        <is>
          <t>Fuji</t>
        </is>
      </c>
      <c r="B249" t="inlineStr"/>
      <c r="C249" t="inlineStr">
        <is>
          <t>Andreas</t>
        </is>
      </c>
      <c r="D249" t="inlineStr">
        <is>
          <t>MITSUBISHI</t>
        </is>
      </c>
      <c r="E249" t="inlineStr">
        <is>
          <t>PT MITSUBISHI POWER INDONESIA</t>
        </is>
      </c>
      <c r="F249" t="inlineStr">
        <is>
          <t>L</t>
        </is>
      </c>
      <c r="G249" t="inlineStr">
        <is>
          <t>7.25.00074</t>
        </is>
      </c>
      <c r="H249" t="inlineStr">
        <is>
          <t>Leads</t>
        </is>
      </c>
      <c r="I249" t="n">
        <v>0</v>
      </c>
      <c r="J249" t="n">
        <v>-223</v>
      </c>
      <c r="K249" t="inlineStr">
        <is>
          <t>Reach Truck 1.5 Ton (1 Unit) _ 1 Tahun _ Canvassing awal &amp; Sales Call</t>
        </is>
      </c>
    </row>
    <row r="250">
      <c r="A250" t="inlineStr">
        <is>
          <t>Fuji</t>
        </is>
      </c>
      <c r="B250" t="inlineStr"/>
      <c r="C250" t="inlineStr">
        <is>
          <t>Andreas</t>
        </is>
      </c>
      <c r="D250" t="inlineStr">
        <is>
          <t>KRONESMACH</t>
        </is>
      </c>
      <c r="E250" t="inlineStr">
        <is>
          <t>PT KRONES MACHINERY INDONESIA</t>
        </is>
      </c>
      <c r="F250" t="inlineStr">
        <is>
          <t>L</t>
        </is>
      </c>
      <c r="G250" t="inlineStr">
        <is>
          <t>7.25.00081</t>
        </is>
      </c>
      <c r="H250" t="inlineStr">
        <is>
          <t>Leads</t>
        </is>
      </c>
      <c r="I250" t="n">
        <v>0</v>
      </c>
      <c r="J250" t="n">
        <v>-230</v>
      </c>
      <c r="K250" t="inlineStr">
        <is>
          <t>Reach Truck 1.5 Ton (1 Unit) _ 1 Tahun _ Canvassing awal &amp; Sales Call</t>
        </is>
      </c>
    </row>
    <row r="251">
      <c r="A251" t="inlineStr">
        <is>
          <t>Fuji</t>
        </is>
      </c>
      <c r="B251" t="inlineStr"/>
      <c r="C251" t="inlineStr">
        <is>
          <t>Andreas</t>
        </is>
      </c>
      <c r="D251" t="inlineStr">
        <is>
          <t>DMGMORINDO</t>
        </is>
      </c>
      <c r="E251" t="inlineStr">
        <is>
          <t>PT DMG MORI INDONESIA</t>
        </is>
      </c>
      <c r="F251" t="inlineStr">
        <is>
          <t>L</t>
        </is>
      </c>
      <c r="G251" t="inlineStr">
        <is>
          <t>7.25.00097</t>
        </is>
      </c>
      <c r="H251" t="inlineStr">
        <is>
          <t>Leads</t>
        </is>
      </c>
      <c r="I251" t="n">
        <v>0</v>
      </c>
      <c r="J251" t="n">
        <v>-216</v>
      </c>
      <c r="K251" t="inlineStr">
        <is>
          <t>Reach Truck 1.5 Ton (1 Unit) _ 1 Tahun _ Canvassing awal &amp; Sales Call</t>
        </is>
      </c>
    </row>
    <row r="252">
      <c r="A252" t="inlineStr">
        <is>
          <t>Fuji</t>
        </is>
      </c>
      <c r="B252" t="inlineStr"/>
      <c r="C252" t="inlineStr">
        <is>
          <t>Andreas</t>
        </is>
      </c>
      <c r="D252" t="inlineStr">
        <is>
          <t>TOKAIRUBER</t>
        </is>
      </c>
      <c r="E252" t="inlineStr">
        <is>
          <t>TOKAI RUBBER AUTO HOSE INDONESIA</t>
        </is>
      </c>
      <c r="F252" t="inlineStr"/>
      <c r="G252" t="inlineStr">
        <is>
          <t>7.25.00099</t>
        </is>
      </c>
      <c r="H252" t="inlineStr">
        <is>
          <t>Leads</t>
        </is>
      </c>
      <c r="I252" t="n">
        <v>0</v>
      </c>
      <c r="J252" t="n">
        <v>-319</v>
      </c>
      <c r="K252" t="inlineStr">
        <is>
          <t>Reach Truck 1.5 Ton (1 Unit) _ 1 Tahun _ Canvassing awal &amp; Sales Call</t>
        </is>
      </c>
    </row>
    <row r="253">
      <c r="A253" t="inlineStr">
        <is>
          <t>Fuji</t>
        </is>
      </c>
      <c r="B253" t="inlineStr"/>
      <c r="C253" t="inlineStr">
        <is>
          <t>Andreas</t>
        </is>
      </c>
      <c r="D253" t="inlineStr">
        <is>
          <t>PADUAKSA</t>
        </is>
      </c>
      <c r="E253" t="inlineStr">
        <is>
          <t>PT PADU AKSA NIAGA</t>
        </is>
      </c>
      <c r="F253" t="inlineStr">
        <is>
          <t>L</t>
        </is>
      </c>
      <c r="G253" t="inlineStr">
        <is>
          <t>7.25.00101</t>
        </is>
      </c>
      <c r="H253" t="inlineStr">
        <is>
          <t>Leads</t>
        </is>
      </c>
      <c r="I253" t="n">
        <v>0</v>
      </c>
      <c r="J253" t="n">
        <v>-319</v>
      </c>
      <c r="K253" t="inlineStr">
        <is>
          <t>Reach Truck 1.5 Ton (1 Unit) _ 1 Tahun _ Canvassing awal &amp; Sales Call</t>
        </is>
      </c>
    </row>
    <row r="254">
      <c r="A254" t="inlineStr">
        <is>
          <t>Fuji</t>
        </is>
      </c>
      <c r="B254" t="inlineStr"/>
      <c r="C254" t="inlineStr">
        <is>
          <t>Andreas</t>
        </is>
      </c>
      <c r="D254" t="inlineStr">
        <is>
          <t>PANENART</t>
        </is>
      </c>
      <c r="E254" t="inlineStr">
        <is>
          <t>PANEN ARTHA NUSA</t>
        </is>
      </c>
      <c r="F254" t="inlineStr"/>
      <c r="G254" t="inlineStr">
        <is>
          <t>7.25.00102</t>
        </is>
      </c>
      <c r="H254" t="inlineStr">
        <is>
          <t>Leads</t>
        </is>
      </c>
      <c r="I254" t="n">
        <v>0</v>
      </c>
      <c r="J254" t="n">
        <v>-319</v>
      </c>
      <c r="K254" t="inlineStr">
        <is>
          <t>Reach Truck 1.5 Ton (1 Unit) _ 1 Tahun _ Canvassing awal &amp; Sales Call</t>
        </is>
      </c>
    </row>
    <row r="255">
      <c r="A255" t="inlineStr">
        <is>
          <t>Fuji</t>
        </is>
      </c>
      <c r="B255" t="inlineStr"/>
      <c r="C255" t="inlineStr">
        <is>
          <t>Andreas</t>
        </is>
      </c>
      <c r="D255" t="inlineStr">
        <is>
          <t>SINARMETRI</t>
        </is>
      </c>
      <c r="E255" t="inlineStr">
        <is>
          <t>SINAR METRINDO PERKASA</t>
        </is>
      </c>
      <c r="F255" t="inlineStr"/>
      <c r="G255" t="inlineStr">
        <is>
          <t>7.25.00103</t>
        </is>
      </c>
      <c r="H255" t="inlineStr">
        <is>
          <t>Leads</t>
        </is>
      </c>
      <c r="I255" t="n">
        <v>0</v>
      </c>
      <c r="J255" t="n">
        <v>-319</v>
      </c>
      <c r="K255" t="inlineStr">
        <is>
          <t>Reach Truck 1.5 Ton (1 Unit) _ 1 Tahun _ Canvassing awal &amp; Sales Call</t>
        </is>
      </c>
    </row>
    <row r="256">
      <c r="A256" t="inlineStr">
        <is>
          <t>Fuji</t>
        </is>
      </c>
      <c r="B256" t="inlineStr"/>
      <c r="C256" t="inlineStr">
        <is>
          <t>Andreas</t>
        </is>
      </c>
      <c r="D256" t="inlineStr">
        <is>
          <t>IPM</t>
        </is>
      </c>
      <c r="E256" t="inlineStr">
        <is>
          <t>PT INTERNATIONAL PACKAGING MANUFACTURING</t>
        </is>
      </c>
      <c r="F256" t="inlineStr">
        <is>
          <t>L</t>
        </is>
      </c>
      <c r="G256" t="inlineStr">
        <is>
          <t>7.25.00110</t>
        </is>
      </c>
      <c r="H256" t="inlineStr">
        <is>
          <t>Leads</t>
        </is>
      </c>
      <c r="I256" t="n">
        <v>0</v>
      </c>
      <c r="J256" t="n">
        <v>53</v>
      </c>
      <c r="K256" t="inlineStr">
        <is>
          <t>Reach Truck 1.5 Ton (1 Unit) _ 1 Tahun _ Canvassing awal &amp; Sales Call</t>
        </is>
      </c>
    </row>
    <row r="257">
      <c r="A257" t="inlineStr">
        <is>
          <t>Fuji</t>
        </is>
      </c>
      <c r="B257" t="inlineStr"/>
      <c r="C257" t="inlineStr">
        <is>
          <t>Andreas</t>
        </is>
      </c>
      <c r="D257" t="inlineStr">
        <is>
          <t>PERMAKARJA</t>
        </is>
      </c>
      <c r="E257" t="inlineStr">
        <is>
          <t>PT PERMATA KARYA JASA</t>
        </is>
      </c>
      <c r="F257" t="inlineStr">
        <is>
          <t>L</t>
        </is>
      </c>
      <c r="G257" t="inlineStr">
        <is>
          <t>7.25.00127</t>
        </is>
      </c>
      <c r="H257" t="inlineStr">
        <is>
          <t>Leads</t>
        </is>
      </c>
      <c r="I257" t="n">
        <v>0</v>
      </c>
      <c r="J257" t="n">
        <v>-216</v>
      </c>
      <c r="K257" t="inlineStr">
        <is>
          <t>Reach Truck 1.5 Ton (1 Unit) _ 1 Tahun _ Canvassing awal &amp; Sales Call</t>
        </is>
      </c>
    </row>
    <row r="258">
      <c r="A258" t="inlineStr">
        <is>
          <t>Fuji</t>
        </is>
      </c>
      <c r="B258" t="inlineStr"/>
      <c r="C258" t="inlineStr">
        <is>
          <t>Andreas</t>
        </is>
      </c>
      <c r="D258" t="inlineStr">
        <is>
          <t>MITSUBISHI</t>
        </is>
      </c>
      <c r="E258" t="inlineStr">
        <is>
          <t>PT MITSUBISHI POWER INDONESIA</t>
        </is>
      </c>
      <c r="F258" t="inlineStr">
        <is>
          <t>L</t>
        </is>
      </c>
      <c r="G258" t="inlineStr">
        <is>
          <t>7.25.00129</t>
        </is>
      </c>
      <c r="H258" t="inlineStr">
        <is>
          <t>Leads</t>
        </is>
      </c>
      <c r="I258" t="n">
        <v>0</v>
      </c>
      <c r="J258" t="n">
        <v>106</v>
      </c>
      <c r="K258" t="inlineStr">
        <is>
          <t>Reach Truck 1.5 Ton (1 Unit) _ 1 Tahun _ Canvassing awal &amp; Sales Call</t>
        </is>
      </c>
    </row>
    <row r="259">
      <c r="A259" t="inlineStr">
        <is>
          <t>Fuji</t>
        </is>
      </c>
      <c r="B259" t="inlineStr"/>
      <c r="C259" t="inlineStr">
        <is>
          <t>Andreas</t>
        </is>
      </c>
      <c r="D259" t="inlineStr">
        <is>
          <t>PADUAKSA</t>
        </is>
      </c>
      <c r="E259" t="inlineStr">
        <is>
          <t>PT PADU AKSA NIAGA</t>
        </is>
      </c>
      <c r="F259" t="inlineStr">
        <is>
          <t>L</t>
        </is>
      </c>
      <c r="G259" t="inlineStr">
        <is>
          <t>7.25.00131</t>
        </is>
      </c>
      <c r="H259" t="inlineStr">
        <is>
          <t>Prospect</t>
        </is>
      </c>
      <c r="I259" t="n">
        <v>79</v>
      </c>
      <c r="J259" t="n">
        <v>259</v>
      </c>
      <c r="K259" t="inlineStr">
        <is>
          <t>Forklift 3 Ton (2 Unit) _ 2 Tahun _ SPH Dikirim ke User</t>
        </is>
      </c>
    </row>
    <row r="260">
      <c r="A260" t="inlineStr">
        <is>
          <t>Fuji</t>
        </is>
      </c>
      <c r="B260" t="inlineStr"/>
      <c r="C260" t="inlineStr">
        <is>
          <t>Andreas</t>
        </is>
      </c>
      <c r="D260" t="inlineStr">
        <is>
          <t>BOGA</t>
        </is>
      </c>
      <c r="E260" t="inlineStr">
        <is>
          <t>PT KOBE BOGA UTAMA</t>
        </is>
      </c>
      <c r="F260" t="inlineStr">
        <is>
          <t>L</t>
        </is>
      </c>
      <c r="G260" t="inlineStr">
        <is>
          <t>7.25.00132</t>
        </is>
      </c>
      <c r="H260" t="inlineStr">
        <is>
          <t>Leads</t>
        </is>
      </c>
      <c r="I260" t="n">
        <v>0</v>
      </c>
      <c r="J260" t="n">
        <v>-216</v>
      </c>
      <c r="K260" t="inlineStr">
        <is>
          <t>Reach Truck 1.5 Ton (1 Unit) _ 1 Tahun _ Canvassing awal &amp; Sales Call</t>
        </is>
      </c>
    </row>
    <row r="261">
      <c r="A261" t="inlineStr">
        <is>
          <t>Fuji</t>
        </is>
      </c>
      <c r="B261" t="inlineStr"/>
      <c r="C261" t="inlineStr">
        <is>
          <t>Andreas</t>
        </is>
      </c>
      <c r="D261" t="inlineStr">
        <is>
          <t>SUNSTREAM</t>
        </is>
      </c>
      <c r="E261" t="inlineStr">
        <is>
          <t>SUNSTREAM INDONESIA</t>
        </is>
      </c>
      <c r="F261" t="inlineStr"/>
      <c r="G261" t="inlineStr">
        <is>
          <t>7.25.00152</t>
        </is>
      </c>
      <c r="H261" t="inlineStr">
        <is>
          <t>Leads</t>
        </is>
      </c>
      <c r="I261" t="n">
        <v>0</v>
      </c>
      <c r="J261" t="n">
        <v>-291</v>
      </c>
      <c r="K261" t="inlineStr">
        <is>
          <t>Reach Truck 1.5 Ton (1 Unit) _ 1 Tahun _ Canvassing awal &amp; Sales Call</t>
        </is>
      </c>
    </row>
    <row r="262">
      <c r="A262" t="inlineStr">
        <is>
          <t>Fuji</t>
        </is>
      </c>
      <c r="B262" t="inlineStr"/>
      <c r="C262" t="inlineStr">
        <is>
          <t>Andreas</t>
        </is>
      </c>
      <c r="D262" t="inlineStr">
        <is>
          <t>KMCS</t>
        </is>
      </c>
      <c r="E262" t="inlineStr">
        <is>
          <t>KOREA MARINE CARGO SERVICES JAKARTA</t>
        </is>
      </c>
      <c r="F262" t="inlineStr"/>
      <c r="G262" t="inlineStr">
        <is>
          <t>7.25.00154</t>
        </is>
      </c>
      <c r="H262" t="inlineStr">
        <is>
          <t>Leads</t>
        </is>
      </c>
      <c r="I262" t="n">
        <v>0</v>
      </c>
      <c r="J262" t="n">
        <v>-290</v>
      </c>
      <c r="K262" t="inlineStr">
        <is>
          <t>Reach Truck 1.5 Ton (1 Unit) _ 1 Tahun _ Canvassing awal &amp; Sales Call</t>
        </is>
      </c>
    </row>
    <row r="263">
      <c r="A263" t="inlineStr">
        <is>
          <t>Fuji</t>
        </is>
      </c>
      <c r="B263" t="inlineStr"/>
      <c r="C263" t="inlineStr">
        <is>
          <t>Andreas</t>
        </is>
      </c>
      <c r="D263" t="inlineStr">
        <is>
          <t>SREEYA</t>
        </is>
      </c>
      <c r="E263" t="inlineStr">
        <is>
          <t>PT SREEYA SEWU INDONESIA TBK</t>
        </is>
      </c>
      <c r="F263" t="inlineStr">
        <is>
          <t>L</t>
        </is>
      </c>
      <c r="G263" t="inlineStr">
        <is>
          <t>7.25.00157</t>
        </is>
      </c>
      <c r="H263" t="inlineStr">
        <is>
          <t>Prospect</t>
        </is>
      </c>
      <c r="I263" t="n">
        <v>88</v>
      </c>
      <c r="J263" t="n">
        <v>268</v>
      </c>
      <c r="K263" t="inlineStr">
        <is>
          <t>Forklift 3 Ton (2 Unit) _ 2 Tahun _ SPH Dikirim ke User</t>
        </is>
      </c>
    </row>
    <row r="264">
      <c r="A264" t="inlineStr">
        <is>
          <t>Fuji</t>
        </is>
      </c>
      <c r="B264" t="inlineStr"/>
      <c r="C264" t="inlineStr">
        <is>
          <t>Andreas</t>
        </is>
      </c>
      <c r="D264" t="inlineStr">
        <is>
          <t>ATI</t>
        </is>
      </c>
      <c r="E264" t="inlineStr">
        <is>
          <t>AT INDONESIA</t>
        </is>
      </c>
      <c r="F264" t="inlineStr"/>
      <c r="G264" t="inlineStr">
        <is>
          <t>7.25.00161</t>
        </is>
      </c>
      <c r="H264" t="inlineStr">
        <is>
          <t>Leads</t>
        </is>
      </c>
      <c r="I264" t="n">
        <v>0</v>
      </c>
      <c r="J264" t="n">
        <v>-195</v>
      </c>
      <c r="K264" t="inlineStr">
        <is>
          <t>Reach Truck 1.5 Ton (1 Unit) _ 1 Tahun _ Canvassing awal &amp; Sales Call</t>
        </is>
      </c>
    </row>
    <row r="265">
      <c r="A265" t="inlineStr">
        <is>
          <t>Fuji</t>
        </is>
      </c>
      <c r="B265" t="inlineStr"/>
      <c r="C265" t="inlineStr">
        <is>
          <t>Andreas</t>
        </is>
      </c>
      <c r="D265" t="inlineStr">
        <is>
          <t>E-TIRTAMED</t>
        </is>
      </c>
      <c r="E265" t="inlineStr">
        <is>
          <t>E-TIRTA MEDICAL CENTRE</t>
        </is>
      </c>
      <c r="F265" t="inlineStr">
        <is>
          <t>S</t>
        </is>
      </c>
      <c r="G265" t="inlineStr">
        <is>
          <t>7.25.00174</t>
        </is>
      </c>
      <c r="H265" t="inlineStr">
        <is>
          <t>Leads</t>
        </is>
      </c>
      <c r="I265" t="n">
        <v>0</v>
      </c>
      <c r="J265" t="n">
        <v>-272</v>
      </c>
      <c r="K265" t="inlineStr">
        <is>
          <t>Reach Truck 1.5 Ton (1 Unit) _ 1 Tahun _ Canvassing awal &amp; Sales Call</t>
        </is>
      </c>
    </row>
    <row r="266">
      <c r="A266" t="inlineStr">
        <is>
          <t>Fuji</t>
        </is>
      </c>
      <c r="B266" t="inlineStr"/>
      <c r="C266" t="inlineStr">
        <is>
          <t>Andreas</t>
        </is>
      </c>
      <c r="D266" t="inlineStr">
        <is>
          <t>E-TIRTAMED</t>
        </is>
      </c>
      <c r="E266" t="inlineStr">
        <is>
          <t>E-TIRTA MEDICAL CENTRE</t>
        </is>
      </c>
      <c r="F266" t="inlineStr">
        <is>
          <t>S</t>
        </is>
      </c>
      <c r="G266" t="inlineStr">
        <is>
          <t>7.25.00177</t>
        </is>
      </c>
      <c r="H266" t="inlineStr">
        <is>
          <t>Leads</t>
        </is>
      </c>
      <c r="I266" t="n">
        <v>0</v>
      </c>
      <c r="J266" t="n">
        <v>-277</v>
      </c>
      <c r="K266" t="inlineStr">
        <is>
          <t>Reach Truck 1.5 Ton (1 Unit) _ 1 Tahun _ Canvassing awal &amp; Sales Call</t>
        </is>
      </c>
    </row>
    <row r="267">
      <c r="A267" t="inlineStr">
        <is>
          <t>Fuji</t>
        </is>
      </c>
      <c r="B267" t="inlineStr"/>
      <c r="C267" t="inlineStr">
        <is>
          <t>Andreas</t>
        </is>
      </c>
      <c r="D267" t="inlineStr">
        <is>
          <t>BOGA</t>
        </is>
      </c>
      <c r="E267" t="inlineStr">
        <is>
          <t>PT KOBE BOGA UTAMA</t>
        </is>
      </c>
      <c r="F267" t="inlineStr">
        <is>
          <t>L</t>
        </is>
      </c>
      <c r="G267" t="inlineStr">
        <is>
          <t>7.25.00178</t>
        </is>
      </c>
      <c r="H267" t="inlineStr">
        <is>
          <t>Prospect</t>
        </is>
      </c>
      <c r="I267" t="n">
        <v>66</v>
      </c>
      <c r="J267" t="n">
        <v>246</v>
      </c>
      <c r="K267" t="inlineStr">
        <is>
          <t>Forklift 3 Ton (2 Unit) _ 2 Tahun _ SPH Dikirim ke User</t>
        </is>
      </c>
    </row>
    <row r="268">
      <c r="A268" t="inlineStr">
        <is>
          <t>Fuji</t>
        </is>
      </c>
      <c r="B268" t="inlineStr"/>
      <c r="C268" t="inlineStr">
        <is>
          <t>Andreas</t>
        </is>
      </c>
      <c r="D268" t="inlineStr">
        <is>
          <t>TUNGGALIDA</t>
        </is>
      </c>
      <c r="E268" t="inlineStr">
        <is>
          <t>PT TUNGGAL IDAMAN ABDI</t>
        </is>
      </c>
      <c r="F268" t="inlineStr">
        <is>
          <t>L</t>
        </is>
      </c>
      <c r="G268" t="inlineStr">
        <is>
          <t>7.25.00191</t>
        </is>
      </c>
      <c r="H268" t="inlineStr">
        <is>
          <t>Leads</t>
        </is>
      </c>
      <c r="I268" t="n">
        <v>0</v>
      </c>
      <c r="J268" t="n">
        <v>137</v>
      </c>
      <c r="K268" t="inlineStr">
        <is>
          <t>Reach Truck 1.5 Ton (1 Unit) _ 1 Tahun _ Canvassing awal &amp; Sales Call</t>
        </is>
      </c>
    </row>
    <row r="269">
      <c r="A269" t="inlineStr">
        <is>
          <t>Fuji</t>
        </is>
      </c>
      <c r="B269" t="inlineStr"/>
      <c r="C269" t="inlineStr">
        <is>
          <t>Andreas</t>
        </is>
      </c>
      <c r="D269" t="inlineStr">
        <is>
          <t>KRONESMACH</t>
        </is>
      </c>
      <c r="E269" t="inlineStr">
        <is>
          <t>PT KRONES MACHINERY INDONESIA</t>
        </is>
      </c>
      <c r="F269" t="inlineStr">
        <is>
          <t>L</t>
        </is>
      </c>
      <c r="G269" t="inlineStr">
        <is>
          <t>7.25.00197</t>
        </is>
      </c>
      <c r="H269" t="inlineStr">
        <is>
          <t>Leads</t>
        </is>
      </c>
      <c r="I269" t="n">
        <v>0</v>
      </c>
      <c r="J269" t="n">
        <v>-181</v>
      </c>
      <c r="K269" t="inlineStr">
        <is>
          <t>Reach Truck 1.5 Ton (1 Unit) _ 1 Tahun _ Canvassing awal &amp; Sales Call</t>
        </is>
      </c>
    </row>
    <row r="270">
      <c r="A270" t="inlineStr">
        <is>
          <t>Fuji</t>
        </is>
      </c>
      <c r="B270" t="inlineStr"/>
      <c r="C270" t="inlineStr">
        <is>
          <t>Andreas</t>
        </is>
      </c>
      <c r="D270" t="inlineStr">
        <is>
          <t>SATO</t>
        </is>
      </c>
      <c r="E270" t="inlineStr">
        <is>
          <t>SATO LABEL INDONESIA</t>
        </is>
      </c>
      <c r="F270" t="inlineStr"/>
      <c r="G270" t="inlineStr">
        <is>
          <t>7.25.00215</t>
        </is>
      </c>
      <c r="H270" t="inlineStr">
        <is>
          <t>Leads</t>
        </is>
      </c>
      <c r="I270" t="n">
        <v>0</v>
      </c>
      <c r="J270" t="n">
        <v>-270</v>
      </c>
      <c r="K270" t="inlineStr">
        <is>
          <t>Reach Truck 1.5 Ton (1 Unit) _ 1 Tahun _ Canvassing awal &amp; Sales Call</t>
        </is>
      </c>
    </row>
    <row r="271">
      <c r="A271" t="inlineStr">
        <is>
          <t>Fuji</t>
        </is>
      </c>
      <c r="B271" t="inlineStr"/>
      <c r="C271" t="inlineStr">
        <is>
          <t>Andreas</t>
        </is>
      </c>
      <c r="D271" t="inlineStr">
        <is>
          <t>NICHIASSUN</t>
        </is>
      </c>
      <c r="E271" t="inlineStr">
        <is>
          <t>NICHIAS SUNIJAYA</t>
        </is>
      </c>
      <c r="F271" t="inlineStr"/>
      <c r="G271" t="inlineStr">
        <is>
          <t>7.25.00216</t>
        </is>
      </c>
      <c r="H271" t="inlineStr">
        <is>
          <t>Leads</t>
        </is>
      </c>
      <c r="I271" t="n">
        <v>0</v>
      </c>
      <c r="J271" t="n">
        <v>-270</v>
      </c>
      <c r="K271" t="inlineStr">
        <is>
          <t>Reach Truck 1.5 Ton (1 Unit) _ 1 Tahun _ Canvassing awal &amp; Sales Call</t>
        </is>
      </c>
    </row>
    <row r="272">
      <c r="A272" t="inlineStr">
        <is>
          <t>Fuji</t>
        </is>
      </c>
      <c r="B272" t="inlineStr"/>
      <c r="C272" t="inlineStr">
        <is>
          <t>Andreas</t>
        </is>
      </c>
      <c r="D272" t="inlineStr">
        <is>
          <t>SAMATOR</t>
        </is>
      </c>
      <c r="E272" t="inlineStr">
        <is>
          <t>SAMATOR TAIYO NIPPON SANSO INDONESIA</t>
        </is>
      </c>
      <c r="F272" t="inlineStr"/>
      <c r="G272" t="inlineStr">
        <is>
          <t>7.25.00217</t>
        </is>
      </c>
      <c r="H272" t="inlineStr">
        <is>
          <t>Leads</t>
        </is>
      </c>
      <c r="I272" t="n">
        <v>0</v>
      </c>
      <c r="J272" t="n">
        <v>-270</v>
      </c>
      <c r="K272" t="inlineStr">
        <is>
          <t>Reach Truck 1.5 Ton (1 Unit) _ 1 Tahun _ Canvassing awal &amp; Sales Call</t>
        </is>
      </c>
    </row>
    <row r="273">
      <c r="A273" t="inlineStr">
        <is>
          <t>Fuji</t>
        </is>
      </c>
      <c r="B273" t="inlineStr"/>
      <c r="C273" t="inlineStr">
        <is>
          <t>Andreas</t>
        </is>
      </c>
      <c r="D273" t="inlineStr">
        <is>
          <t>CHIYODA</t>
        </is>
      </c>
      <c r="E273" t="inlineStr">
        <is>
          <t>CHIYODA INTERNATIONAL INDONESIA</t>
        </is>
      </c>
      <c r="F273" t="inlineStr"/>
      <c r="G273" t="inlineStr">
        <is>
          <t>7.25.00218</t>
        </is>
      </c>
      <c r="H273" t="inlineStr">
        <is>
          <t>Leads</t>
        </is>
      </c>
      <c r="I273" t="n">
        <v>0</v>
      </c>
      <c r="J273" t="n">
        <v>-270</v>
      </c>
      <c r="K273" t="inlineStr">
        <is>
          <t>Reach Truck 1.5 Ton (1 Unit) _ 1 Tahun _ Canvassing awal &amp; Sales Call</t>
        </is>
      </c>
    </row>
    <row r="274">
      <c r="A274" t="inlineStr">
        <is>
          <t>Fuji</t>
        </is>
      </c>
      <c r="B274" t="inlineStr"/>
      <c r="C274" t="inlineStr">
        <is>
          <t>Andreas</t>
        </is>
      </c>
      <c r="D274" t="inlineStr">
        <is>
          <t>OMRON</t>
        </is>
      </c>
      <c r="E274" t="inlineStr">
        <is>
          <t>OMRON MANUFACTURING OF INDONESIA</t>
        </is>
      </c>
      <c r="F274" t="inlineStr"/>
      <c r="G274" t="inlineStr">
        <is>
          <t>7.25.00220</t>
        </is>
      </c>
      <c r="H274" t="inlineStr">
        <is>
          <t>Leads</t>
        </is>
      </c>
      <c r="I274" t="n">
        <v>0</v>
      </c>
      <c r="J274" t="n">
        <v>163</v>
      </c>
      <c r="K274" t="inlineStr">
        <is>
          <t>Reach Truck 1.5 Ton (1 Unit) _ 1 Tahun _ Canvassing awal &amp; Sales Call</t>
        </is>
      </c>
    </row>
    <row r="275">
      <c r="A275" t="inlineStr">
        <is>
          <t>Fuji</t>
        </is>
      </c>
      <c r="B275" t="inlineStr"/>
      <c r="C275" t="inlineStr">
        <is>
          <t>Andreas</t>
        </is>
      </c>
      <c r="D275" t="inlineStr">
        <is>
          <t>TIGAKARUNI</t>
        </is>
      </c>
      <c r="E275" t="inlineStr">
        <is>
          <t>TIGA KARUNIA INDONESIA</t>
        </is>
      </c>
      <c r="F275" t="inlineStr"/>
      <c r="G275" t="inlineStr">
        <is>
          <t>7.25.00221</t>
        </is>
      </c>
      <c r="H275" t="inlineStr">
        <is>
          <t>Leads</t>
        </is>
      </c>
      <c r="I275" t="n">
        <v>0</v>
      </c>
      <c r="J275" t="n">
        <v>-270</v>
      </c>
      <c r="K275" t="inlineStr">
        <is>
          <t>Reach Truck 1.5 Ton (1 Unit) _ 1 Tahun _ Canvassing awal &amp; Sales Call</t>
        </is>
      </c>
    </row>
    <row r="276">
      <c r="A276" t="inlineStr">
        <is>
          <t>Fuji</t>
        </is>
      </c>
      <c r="B276" t="inlineStr"/>
      <c r="C276" t="inlineStr">
        <is>
          <t>Andreas</t>
        </is>
      </c>
      <c r="D276" t="inlineStr">
        <is>
          <t>HANKYUHAN</t>
        </is>
      </c>
      <c r="E276" t="inlineStr">
        <is>
          <t>HANKYU HANSHIN LOGISTICS INDONESIA</t>
        </is>
      </c>
      <c r="F276" t="inlineStr"/>
      <c r="G276" t="inlineStr">
        <is>
          <t>7.25.00222</t>
        </is>
      </c>
      <c r="H276" t="inlineStr">
        <is>
          <t>Leads</t>
        </is>
      </c>
      <c r="I276" t="n">
        <v>0</v>
      </c>
      <c r="J276" t="n">
        <v>-270</v>
      </c>
      <c r="K276" t="inlineStr">
        <is>
          <t>Reach Truck 1.5 Ton (1 Unit) _ 1 Tahun _ Canvassing awal &amp; Sales Call</t>
        </is>
      </c>
    </row>
    <row r="277">
      <c r="A277" t="inlineStr">
        <is>
          <t>Fuji</t>
        </is>
      </c>
      <c r="B277" t="inlineStr"/>
      <c r="C277" t="inlineStr">
        <is>
          <t>Andreas</t>
        </is>
      </c>
      <c r="D277" t="inlineStr">
        <is>
          <t>NITTOH</t>
        </is>
      </c>
      <c r="E277" t="inlineStr">
        <is>
          <t>NITTOH PRESISI INDONESIA</t>
        </is>
      </c>
      <c r="F277" t="inlineStr"/>
      <c r="G277" t="inlineStr">
        <is>
          <t>7.25.00223</t>
        </is>
      </c>
      <c r="H277" t="inlineStr">
        <is>
          <t>Leads</t>
        </is>
      </c>
      <c r="I277" t="n">
        <v>0</v>
      </c>
      <c r="J277" t="n">
        <v>-270</v>
      </c>
      <c r="K277" t="inlineStr">
        <is>
          <t>Reach Truck 1.5 Ton (1 Unit) _ 1 Tahun _ Canvassing awal &amp; Sales Call</t>
        </is>
      </c>
    </row>
    <row r="278">
      <c r="A278" t="inlineStr">
        <is>
          <t>Fuji</t>
        </is>
      </c>
      <c r="B278" t="inlineStr"/>
      <c r="C278" t="inlineStr">
        <is>
          <t>Andreas</t>
        </is>
      </c>
      <c r="D278" t="inlineStr">
        <is>
          <t>NOVONORDIS</t>
        </is>
      </c>
      <c r="E278" t="inlineStr">
        <is>
          <t>NOVO NORDISK INDONESIA</t>
        </is>
      </c>
      <c r="F278" t="inlineStr">
        <is>
          <t>S</t>
        </is>
      </c>
      <c r="G278" t="inlineStr">
        <is>
          <t>7.25.00226</t>
        </is>
      </c>
      <c r="H278" t="inlineStr">
        <is>
          <t>Leads</t>
        </is>
      </c>
      <c r="I278" t="n">
        <v>0</v>
      </c>
      <c r="J278" t="n">
        <v>-95</v>
      </c>
      <c r="K278" t="inlineStr">
        <is>
          <t>Reach Truck 1.5 Ton (1 Unit) _ 1 Tahun _ Canvassing awal &amp; Sales Call</t>
        </is>
      </c>
    </row>
    <row r="279">
      <c r="A279" t="inlineStr">
        <is>
          <t>Fuji</t>
        </is>
      </c>
      <c r="B279" t="inlineStr"/>
      <c r="C279" t="inlineStr">
        <is>
          <t>Andreas</t>
        </is>
      </c>
      <c r="D279" t="inlineStr">
        <is>
          <t>KEWPIEIND</t>
        </is>
      </c>
      <c r="E279" t="inlineStr">
        <is>
          <t>KEWPIE INDONESIA</t>
        </is>
      </c>
      <c r="F279" t="inlineStr"/>
      <c r="G279" t="inlineStr">
        <is>
          <t>7.25.00227</t>
        </is>
      </c>
      <c r="H279" t="inlineStr">
        <is>
          <t>Leads</t>
        </is>
      </c>
      <c r="I279" t="n">
        <v>0</v>
      </c>
      <c r="J279" t="n">
        <v>-269</v>
      </c>
      <c r="K279" t="inlineStr">
        <is>
          <t>Reach Truck 1.5 Ton (1 Unit) _ 1 Tahun _ Canvassing awal &amp; Sales Call</t>
        </is>
      </c>
    </row>
    <row r="280">
      <c r="A280" t="inlineStr">
        <is>
          <t>Fuji</t>
        </is>
      </c>
      <c r="B280" t="inlineStr"/>
      <c r="C280" t="inlineStr">
        <is>
          <t>Andreas</t>
        </is>
      </c>
      <c r="D280" t="inlineStr">
        <is>
          <t>HANKEN</t>
        </is>
      </c>
      <c r="E280" t="inlineStr">
        <is>
          <t>HANKEN INDONESIA</t>
        </is>
      </c>
      <c r="F280" t="inlineStr"/>
      <c r="G280" t="inlineStr">
        <is>
          <t>7.25.00229</t>
        </is>
      </c>
      <c r="H280" t="inlineStr">
        <is>
          <t>Leads</t>
        </is>
      </c>
      <c r="I280" t="n">
        <v>0</v>
      </c>
      <c r="J280" t="n">
        <v>-269</v>
      </c>
      <c r="K280" t="inlineStr">
        <is>
          <t>Reach Truck 1.5 Ton (1 Unit) _ 1 Tahun _ Canvassing awal &amp; Sales Call</t>
        </is>
      </c>
    </row>
    <row r="281">
      <c r="A281" t="inlineStr">
        <is>
          <t>Fuji</t>
        </is>
      </c>
      <c r="B281" t="inlineStr"/>
      <c r="C281" t="inlineStr">
        <is>
          <t>Andreas</t>
        </is>
      </c>
      <c r="D281" t="inlineStr">
        <is>
          <t>CARDSINDO</t>
        </is>
      </c>
      <c r="E281" t="inlineStr">
        <is>
          <t>CARDSINDO TIGA PERKASA</t>
        </is>
      </c>
      <c r="F281" t="inlineStr">
        <is>
          <t>S</t>
        </is>
      </c>
      <c r="G281" t="inlineStr">
        <is>
          <t>7.25.00230</t>
        </is>
      </c>
      <c r="H281" t="inlineStr">
        <is>
          <t>Leads</t>
        </is>
      </c>
      <c r="I281" t="n">
        <v>0</v>
      </c>
      <c r="J281" t="n">
        <v>-269</v>
      </c>
      <c r="K281" t="inlineStr">
        <is>
          <t>Reach Truck 1.5 Ton (1 Unit) _ 1 Tahun _ Canvassing awal &amp; Sales Call</t>
        </is>
      </c>
    </row>
    <row r="282">
      <c r="A282" t="inlineStr">
        <is>
          <t>Fuji</t>
        </is>
      </c>
      <c r="B282" t="inlineStr"/>
      <c r="C282" t="inlineStr">
        <is>
          <t>Andreas</t>
        </is>
      </c>
      <c r="D282" t="inlineStr">
        <is>
          <t>KAWAJUN</t>
        </is>
      </c>
      <c r="E282" t="inlineStr">
        <is>
          <t>KAWAJUN INDONESIA</t>
        </is>
      </c>
      <c r="F282" t="inlineStr"/>
      <c r="G282" t="inlineStr">
        <is>
          <t>7.25.00231</t>
        </is>
      </c>
      <c r="H282" t="inlineStr">
        <is>
          <t>Leads</t>
        </is>
      </c>
      <c r="I282" t="n">
        <v>0</v>
      </c>
      <c r="J282" t="n">
        <v>-269</v>
      </c>
      <c r="K282" t="inlineStr">
        <is>
          <t>Reach Truck 1.5 Ton (1 Unit) _ 1 Tahun _ Canvassing awal &amp; Sales Call</t>
        </is>
      </c>
    </row>
    <row r="283">
      <c r="A283" t="inlineStr">
        <is>
          <t>Fuji</t>
        </is>
      </c>
      <c r="B283" t="inlineStr"/>
      <c r="C283" t="inlineStr">
        <is>
          <t>Andreas</t>
        </is>
      </c>
      <c r="D283" t="inlineStr">
        <is>
          <t>MANDAU</t>
        </is>
      </c>
      <c r="E283" t="inlineStr">
        <is>
          <t>PT MANDIRI DAYA UTAMA NUSANTARA</t>
        </is>
      </c>
      <c r="F283" t="inlineStr">
        <is>
          <t>L</t>
        </is>
      </c>
      <c r="G283" t="inlineStr">
        <is>
          <t>7.25.00235</t>
        </is>
      </c>
      <c r="H283" t="inlineStr">
        <is>
          <t>Leads</t>
        </is>
      </c>
      <c r="I283" t="n">
        <v>0</v>
      </c>
      <c r="J283" t="n">
        <v>128</v>
      </c>
      <c r="K283" t="inlineStr">
        <is>
          <t>Reach Truck 1.5 Ton (1 Unit) _ 1 Tahun _ Canvassing awal &amp; Sales Call</t>
        </is>
      </c>
    </row>
    <row r="284">
      <c r="A284" t="inlineStr">
        <is>
          <t>Fuji</t>
        </is>
      </c>
      <c r="B284" t="inlineStr"/>
      <c r="C284" t="inlineStr">
        <is>
          <t>Andreas</t>
        </is>
      </c>
      <c r="D284" t="inlineStr">
        <is>
          <t>BELFONESIA</t>
        </is>
      </c>
      <c r="E284" t="inlineStr">
        <is>
          <t>PT BELFOODS INDONESIA</t>
        </is>
      </c>
      <c r="F284" t="inlineStr">
        <is>
          <t>L</t>
        </is>
      </c>
      <c r="G284" t="inlineStr">
        <is>
          <t>7.25.00255</t>
        </is>
      </c>
      <c r="H284" t="inlineStr">
        <is>
          <t>Leads</t>
        </is>
      </c>
      <c r="I284" t="n">
        <v>0</v>
      </c>
      <c r="J284" t="n">
        <v>-118</v>
      </c>
      <c r="K284" t="inlineStr">
        <is>
          <t>Reach Truck 1.5 Ton (1 Unit) _ 1 Tahun _ Canvassing awal &amp; Sales Call</t>
        </is>
      </c>
    </row>
    <row r="285">
      <c r="A285" t="inlineStr">
        <is>
          <t>Fuji</t>
        </is>
      </c>
      <c r="B285" t="inlineStr"/>
      <c r="C285" t="inlineStr">
        <is>
          <t>Andreas</t>
        </is>
      </c>
      <c r="D285" t="inlineStr">
        <is>
          <t>KRONESMACH</t>
        </is>
      </c>
      <c r="E285" t="inlineStr">
        <is>
          <t>PT KRONES MACHINERY INDONESIA</t>
        </is>
      </c>
      <c r="F285" t="inlineStr">
        <is>
          <t>L</t>
        </is>
      </c>
      <c r="G285" t="inlineStr">
        <is>
          <t>7.25.00256</t>
        </is>
      </c>
      <c r="H285" t="inlineStr">
        <is>
          <t>Leads</t>
        </is>
      </c>
      <c r="I285" t="n">
        <v>0</v>
      </c>
      <c r="J285" t="n">
        <v>-154</v>
      </c>
      <c r="K285" t="inlineStr">
        <is>
          <t>Reach Truck 1.5 Ton (1 Unit) _ 1 Tahun _ Canvassing awal &amp; Sales Call</t>
        </is>
      </c>
    </row>
    <row r="286">
      <c r="A286" t="inlineStr">
        <is>
          <t>Fuji</t>
        </is>
      </c>
      <c r="B286" t="inlineStr"/>
      <c r="C286" t="inlineStr">
        <is>
          <t>Andreas</t>
        </is>
      </c>
      <c r="D286" t="inlineStr">
        <is>
          <t>DMGMORINDO</t>
        </is>
      </c>
      <c r="E286" t="inlineStr">
        <is>
          <t>PT DMG MORI INDONESIA</t>
        </is>
      </c>
      <c r="F286" t="inlineStr">
        <is>
          <t>L</t>
        </is>
      </c>
      <c r="G286" t="inlineStr">
        <is>
          <t>7.25.00259</t>
        </is>
      </c>
      <c r="H286" t="inlineStr">
        <is>
          <t>Leads</t>
        </is>
      </c>
      <c r="I286" t="n">
        <v>0</v>
      </c>
      <c r="J286" t="n">
        <v>-154</v>
      </c>
      <c r="K286" t="inlineStr">
        <is>
          <t>Reach Truck 1.5 Ton (1 Unit) _ 1 Tahun _ Canvassing awal &amp; Sales Call</t>
        </is>
      </c>
    </row>
    <row r="287">
      <c r="A287" t="inlineStr">
        <is>
          <t>Fuji</t>
        </is>
      </c>
      <c r="B287" t="inlineStr"/>
      <c r="C287" t="inlineStr">
        <is>
          <t>Andreas</t>
        </is>
      </c>
      <c r="D287" t="inlineStr">
        <is>
          <t>AJEINDO</t>
        </is>
      </c>
      <c r="E287" t="inlineStr">
        <is>
          <t>AJE INDONESIA</t>
        </is>
      </c>
      <c r="F287" t="inlineStr">
        <is>
          <t>S</t>
        </is>
      </c>
      <c r="G287" t="inlineStr">
        <is>
          <t>7.25.00261</t>
        </is>
      </c>
      <c r="H287" t="inlineStr">
        <is>
          <t>Leads</t>
        </is>
      </c>
      <c r="I287" t="n">
        <v>0</v>
      </c>
      <c r="J287" t="n">
        <v>-140</v>
      </c>
      <c r="K287" t="inlineStr">
        <is>
          <t>Reach Truck 1.5 Ton (1 Unit) _ 1 Tahun _ Canvassing awal &amp; Sales Call</t>
        </is>
      </c>
    </row>
    <row r="288">
      <c r="A288" t="inlineStr">
        <is>
          <t>Fuji</t>
        </is>
      </c>
      <c r="B288" t="inlineStr"/>
      <c r="C288" t="inlineStr">
        <is>
          <t>Andreas</t>
        </is>
      </c>
      <c r="D288" t="inlineStr">
        <is>
          <t>MACROSENNI</t>
        </is>
      </c>
      <c r="E288" t="inlineStr">
        <is>
          <t>MACROSENTRA NIAGABOGA</t>
        </is>
      </c>
      <c r="F288" t="inlineStr"/>
      <c r="G288" t="inlineStr">
        <is>
          <t>7.25.00266</t>
        </is>
      </c>
      <c r="H288" t="inlineStr">
        <is>
          <t>Leads</t>
        </is>
      </c>
      <c r="I288" t="n">
        <v>0</v>
      </c>
      <c r="J288" t="n">
        <v>-95</v>
      </c>
      <c r="K288" t="inlineStr">
        <is>
          <t>Reach Truck 1.5 Ton (1 Unit) _ 1 Tahun _ Canvassing awal &amp; Sales Call</t>
        </is>
      </c>
    </row>
    <row r="289">
      <c r="A289" t="inlineStr">
        <is>
          <t>Fuji</t>
        </is>
      </c>
      <c r="B289" t="inlineStr"/>
      <c r="C289" t="inlineStr">
        <is>
          <t>Andreas</t>
        </is>
      </c>
      <c r="D289" t="inlineStr">
        <is>
          <t>KRONESMACH</t>
        </is>
      </c>
      <c r="E289" t="inlineStr">
        <is>
          <t>PT KRONES MACHINERY INDONESIA</t>
        </is>
      </c>
      <c r="F289" t="inlineStr">
        <is>
          <t>L</t>
        </is>
      </c>
      <c r="G289" t="inlineStr">
        <is>
          <t>7.25.00281</t>
        </is>
      </c>
      <c r="H289" t="inlineStr">
        <is>
          <t>Leads</t>
        </is>
      </c>
      <c r="I289" t="n">
        <v>0</v>
      </c>
      <c r="J289" t="n">
        <v>-140</v>
      </c>
      <c r="K289" t="inlineStr">
        <is>
          <t>Reach Truck 1.5 Ton (1 Unit) _ 1 Tahun _ Canvassing awal &amp; Sales Call</t>
        </is>
      </c>
    </row>
    <row r="290">
      <c r="A290" t="inlineStr">
        <is>
          <t>Fuji</t>
        </is>
      </c>
      <c r="B290" t="inlineStr"/>
      <c r="C290" t="inlineStr">
        <is>
          <t>Andreas</t>
        </is>
      </c>
      <c r="D290" t="inlineStr">
        <is>
          <t>AJEINDO</t>
        </is>
      </c>
      <c r="E290" t="inlineStr">
        <is>
          <t>AJE INDONESIA</t>
        </is>
      </c>
      <c r="F290" t="inlineStr">
        <is>
          <t>S</t>
        </is>
      </c>
      <c r="G290" t="inlineStr">
        <is>
          <t>7.25.00284</t>
        </is>
      </c>
      <c r="H290" t="inlineStr">
        <is>
          <t>Prospect</t>
        </is>
      </c>
      <c r="I290" t="n">
        <v>72</v>
      </c>
      <c r="J290" t="n">
        <v>252</v>
      </c>
      <c r="K290" t="inlineStr">
        <is>
          <t>Forklift 3 Ton (2 Unit) _ 2 Tahun _ SPH Dikirim ke User</t>
        </is>
      </c>
    </row>
    <row r="291">
      <c r="A291" t="inlineStr">
        <is>
          <t>Fuji</t>
        </is>
      </c>
      <c r="B291" t="inlineStr"/>
      <c r="C291" t="inlineStr">
        <is>
          <t>Andreas</t>
        </is>
      </c>
      <c r="D291" t="inlineStr">
        <is>
          <t>DMGMORINDO</t>
        </is>
      </c>
      <c r="E291" t="inlineStr">
        <is>
          <t>PT DMG MORI INDONESIA</t>
        </is>
      </c>
      <c r="F291" t="inlineStr">
        <is>
          <t>L</t>
        </is>
      </c>
      <c r="G291" t="inlineStr">
        <is>
          <t>7.25.00286</t>
        </is>
      </c>
      <c r="H291" t="inlineStr">
        <is>
          <t>Leads</t>
        </is>
      </c>
      <c r="I291" t="n">
        <v>0</v>
      </c>
      <c r="J291" t="n">
        <v>91</v>
      </c>
      <c r="K291" t="inlineStr">
        <is>
          <t>Reach Truck 1.5 Ton (1 Unit) _ 1 Tahun _ Canvassing awal &amp; Sales Call</t>
        </is>
      </c>
    </row>
    <row r="292">
      <c r="A292" t="inlineStr">
        <is>
          <t>Fuji</t>
        </is>
      </c>
      <c r="B292" t="inlineStr"/>
      <c r="C292" t="inlineStr">
        <is>
          <t>Andreas</t>
        </is>
      </c>
      <c r="D292" t="inlineStr">
        <is>
          <t>KRONESMACH</t>
        </is>
      </c>
      <c r="E292" t="inlineStr">
        <is>
          <t>PT KRONES MACHINERY INDONESIA</t>
        </is>
      </c>
      <c r="F292" t="inlineStr">
        <is>
          <t>L</t>
        </is>
      </c>
      <c r="G292" t="inlineStr">
        <is>
          <t>7.25.00289</t>
        </is>
      </c>
      <c r="H292" t="inlineStr">
        <is>
          <t>Leads</t>
        </is>
      </c>
      <c r="I292" t="n">
        <v>0</v>
      </c>
      <c r="J292" t="n">
        <v>70</v>
      </c>
      <c r="K292" t="inlineStr">
        <is>
          <t>Reach Truck 1.5 Ton (1 Unit) _ 1 Tahun _ Canvassing awal &amp; Sales Call</t>
        </is>
      </c>
    </row>
    <row r="293">
      <c r="A293" t="inlineStr">
        <is>
          <t>Fuji</t>
        </is>
      </c>
      <c r="B293" t="inlineStr"/>
      <c r="C293" t="inlineStr">
        <is>
          <t>Andreas</t>
        </is>
      </c>
      <c r="D293" t="inlineStr">
        <is>
          <t>KUARTA</t>
        </is>
      </c>
      <c r="E293" t="inlineStr">
        <is>
          <t>PT KUARTA POWERINDO PERKASA</t>
        </is>
      </c>
      <c r="F293" t="inlineStr">
        <is>
          <t>L</t>
        </is>
      </c>
      <c r="G293" t="inlineStr">
        <is>
          <t>7.25.00295</t>
        </is>
      </c>
      <c r="H293" t="inlineStr">
        <is>
          <t>Leads</t>
        </is>
      </c>
      <c r="I293" t="n">
        <v>0</v>
      </c>
      <c r="J293" t="n">
        <v>168</v>
      </c>
      <c r="K293" t="inlineStr">
        <is>
          <t>Reach Truck 1.5 Ton (1 Unit) _ 1 Tahun _ Canvassing awal &amp; Sales Call</t>
        </is>
      </c>
    </row>
    <row r="294">
      <c r="A294" t="inlineStr">
        <is>
          <t>Fuji</t>
        </is>
      </c>
      <c r="B294" t="inlineStr"/>
      <c r="C294" t="inlineStr">
        <is>
          <t>Andreas</t>
        </is>
      </c>
      <c r="D294" t="inlineStr">
        <is>
          <t>PERMAKARJA</t>
        </is>
      </c>
      <c r="E294" t="inlineStr">
        <is>
          <t>PT PERMATA KARYA JASA</t>
        </is>
      </c>
      <c r="F294" t="inlineStr">
        <is>
          <t>L</t>
        </is>
      </c>
      <c r="G294" t="inlineStr">
        <is>
          <t>7.25.00297</t>
        </is>
      </c>
      <c r="H294" t="inlineStr">
        <is>
          <t>Prospect</t>
        </is>
      </c>
      <c r="I294" t="n">
        <v>59</v>
      </c>
      <c r="J294" t="n">
        <v>239</v>
      </c>
      <c r="K294" t="inlineStr">
        <is>
          <t>Forklift 3 Ton (2 Unit) _ 2 Tahun _ SPH Dikirim ke User</t>
        </is>
      </c>
    </row>
    <row r="295">
      <c r="A295" t="inlineStr">
        <is>
          <t>Fuji</t>
        </is>
      </c>
      <c r="B295" t="inlineStr"/>
      <c r="C295" t="inlineStr">
        <is>
          <t>Andreas</t>
        </is>
      </c>
      <c r="D295" t="inlineStr">
        <is>
          <t>SCHNEIDERI</t>
        </is>
      </c>
      <c r="E295" t="inlineStr">
        <is>
          <t>PT SCHNEIDER INDONESIA</t>
        </is>
      </c>
      <c r="F295" t="inlineStr">
        <is>
          <t>L</t>
        </is>
      </c>
      <c r="G295" t="inlineStr">
        <is>
          <t>7.25.00311</t>
        </is>
      </c>
      <c r="H295" t="inlineStr">
        <is>
          <t>Leads</t>
        </is>
      </c>
      <c r="I295" t="n">
        <v>0</v>
      </c>
      <c r="J295" t="n">
        <v>70</v>
      </c>
      <c r="K295" t="inlineStr">
        <is>
          <t>Reach Truck 1.5 Ton (1 Unit) _ 1 Tahun _ Canvassing awal &amp; Sales Call</t>
        </is>
      </c>
    </row>
    <row r="296">
      <c r="A296" t="inlineStr">
        <is>
          <t>Fuji</t>
        </is>
      </c>
      <c r="B296" t="inlineStr"/>
      <c r="C296" t="inlineStr">
        <is>
          <t>Andreas</t>
        </is>
      </c>
      <c r="D296" t="inlineStr">
        <is>
          <t>BAP</t>
        </is>
      </c>
      <c r="E296" t="inlineStr">
        <is>
          <t>BERLIAN AMAL PERKASA</t>
        </is>
      </c>
      <c r="F296" t="inlineStr">
        <is>
          <t>S</t>
        </is>
      </c>
      <c r="G296" t="inlineStr">
        <is>
          <t>7.25.00330</t>
        </is>
      </c>
      <c r="H296" t="inlineStr">
        <is>
          <t>Leads</t>
        </is>
      </c>
      <c r="I296" t="n">
        <v>0</v>
      </c>
      <c r="J296" t="n">
        <v>-118</v>
      </c>
      <c r="K296" t="inlineStr">
        <is>
          <t>Reach Truck 1.5 Ton (1 Unit) _ 1 Tahun _ Canvassing awal &amp; Sales Call</t>
        </is>
      </c>
    </row>
    <row r="297">
      <c r="A297" t="inlineStr">
        <is>
          <t>Fuji</t>
        </is>
      </c>
      <c r="B297" t="inlineStr"/>
      <c r="C297" t="inlineStr">
        <is>
          <t>Andreas</t>
        </is>
      </c>
      <c r="D297" t="inlineStr">
        <is>
          <t>ISTA</t>
        </is>
      </c>
      <c r="E297" t="inlineStr">
        <is>
          <t>PT ISTA INDONESIA</t>
        </is>
      </c>
      <c r="F297" t="inlineStr">
        <is>
          <t>L</t>
        </is>
      </c>
      <c r="G297" t="inlineStr">
        <is>
          <t>7.25.00331</t>
        </is>
      </c>
      <c r="H297" t="inlineStr">
        <is>
          <t>Leads</t>
        </is>
      </c>
      <c r="I297" t="n">
        <v>0</v>
      </c>
      <c r="J297" t="n">
        <v>-21</v>
      </c>
      <c r="K297" t="inlineStr">
        <is>
          <t>Reach Truck 1.5 Ton (1 Unit) _ 1 Tahun _ Canvassing awal &amp; Sales Call</t>
        </is>
      </c>
    </row>
    <row r="298">
      <c r="A298" t="inlineStr">
        <is>
          <t>Fuji</t>
        </is>
      </c>
      <c r="B298" t="inlineStr"/>
      <c r="C298" t="inlineStr">
        <is>
          <t>Andreas</t>
        </is>
      </c>
      <c r="D298" t="inlineStr">
        <is>
          <t>ASIHEKA</t>
        </is>
      </c>
      <c r="E298" t="inlineStr">
        <is>
          <t>PT ASIH EKA ABADI</t>
        </is>
      </c>
      <c r="F298" t="inlineStr">
        <is>
          <t>L</t>
        </is>
      </c>
      <c r="G298" t="inlineStr">
        <is>
          <t>7.25.00333</t>
        </is>
      </c>
      <c r="H298" t="inlineStr">
        <is>
          <t>Leads</t>
        </is>
      </c>
      <c r="I298" t="n">
        <v>0</v>
      </c>
      <c r="J298" t="n">
        <v>64</v>
      </c>
      <c r="K298" t="inlineStr">
        <is>
          <t>Reach Truck 1.5 Ton (1 Unit) _ 1 Tahun _ Canvassing awal &amp; Sales Call</t>
        </is>
      </c>
    </row>
    <row r="299">
      <c r="A299" t="inlineStr">
        <is>
          <t>Fuji</t>
        </is>
      </c>
      <c r="B299" t="inlineStr"/>
      <c r="C299" t="inlineStr">
        <is>
          <t>Andreas</t>
        </is>
      </c>
      <c r="D299" t="inlineStr">
        <is>
          <t>DSSTMASGEM</t>
        </is>
      </c>
      <c r="E299" t="inlineStr">
        <is>
          <t>PT DSST MAS GEMILANG</t>
        </is>
      </c>
      <c r="F299" t="inlineStr">
        <is>
          <t>M</t>
        </is>
      </c>
      <c r="G299" t="inlineStr">
        <is>
          <t>7.25.00358</t>
        </is>
      </c>
      <c r="H299" t="inlineStr">
        <is>
          <t>Leads</t>
        </is>
      </c>
      <c r="I299" t="n">
        <v>0</v>
      </c>
      <c r="J299" t="n">
        <v>24</v>
      </c>
      <c r="K299" t="inlineStr">
        <is>
          <t>Reach Truck 1.5 Ton (1 Unit) _ 1 Tahun _ Canvassing awal &amp; Sales Call</t>
        </is>
      </c>
    </row>
    <row r="300">
      <c r="A300" t="inlineStr">
        <is>
          <t>Fuji</t>
        </is>
      </c>
      <c r="B300" t="inlineStr"/>
      <c r="C300" t="inlineStr">
        <is>
          <t>Andreas</t>
        </is>
      </c>
      <c r="D300" t="inlineStr">
        <is>
          <t>SMPLUS</t>
        </is>
      </c>
      <c r="E300" t="inlineStr">
        <is>
          <t>PT SMPLUS DIGITAL INVESTAMA</t>
        </is>
      </c>
      <c r="F300" t="inlineStr">
        <is>
          <t>L</t>
        </is>
      </c>
      <c r="G300" t="inlineStr">
        <is>
          <t>7.25.00363</t>
        </is>
      </c>
      <c r="H300" t="inlineStr">
        <is>
          <t>Leads</t>
        </is>
      </c>
      <c r="I300" t="n">
        <v>0</v>
      </c>
      <c r="J300" t="n">
        <v>22</v>
      </c>
      <c r="K300" t="inlineStr">
        <is>
          <t>Reach Truck 1.5 Ton (1 Unit) _ 1 Tahun _ Canvassing awal &amp; Sales Call</t>
        </is>
      </c>
    </row>
    <row r="301">
      <c r="A301" t="inlineStr">
        <is>
          <t>Fuji</t>
        </is>
      </c>
      <c r="B301" t="inlineStr"/>
      <c r="C301" t="inlineStr">
        <is>
          <t>Andreas</t>
        </is>
      </c>
      <c r="D301" t="inlineStr">
        <is>
          <t>COBELCO</t>
        </is>
      </c>
      <c r="E301" t="inlineStr">
        <is>
          <t>PT DAYA KOBELCO CONSTRUCTION MACHINERY INDONESIA</t>
        </is>
      </c>
      <c r="F301" t="inlineStr">
        <is>
          <t>L</t>
        </is>
      </c>
      <c r="G301" t="inlineStr">
        <is>
          <t>7.25.00366</t>
        </is>
      </c>
      <c r="H301" t="inlineStr">
        <is>
          <t>Leads</t>
        </is>
      </c>
      <c r="I301" t="n">
        <v>0</v>
      </c>
      <c r="J301" t="n">
        <v>106</v>
      </c>
      <c r="K301" t="inlineStr">
        <is>
          <t>Reach Truck 1.5 Ton (1 Unit) _ 1 Tahun _ Canvassing awal &amp; Sales Call</t>
        </is>
      </c>
    </row>
    <row r="302">
      <c r="A302" t="inlineStr">
        <is>
          <t>Fuji</t>
        </is>
      </c>
      <c r="B302" t="inlineStr"/>
      <c r="C302" t="inlineStr">
        <is>
          <t>Andreas</t>
        </is>
      </c>
      <c r="D302" t="inlineStr">
        <is>
          <t>BELFONESIA</t>
        </is>
      </c>
      <c r="E302" t="inlineStr">
        <is>
          <t>PT BELFOODS INDONESIA</t>
        </is>
      </c>
      <c r="F302" t="inlineStr">
        <is>
          <t>L</t>
        </is>
      </c>
      <c r="G302" t="inlineStr">
        <is>
          <t>7.25.00369</t>
        </is>
      </c>
      <c r="H302" t="inlineStr">
        <is>
          <t>Prospect</t>
        </is>
      </c>
      <c r="I302" t="n">
        <v>73</v>
      </c>
      <c r="J302" t="n">
        <v>253</v>
      </c>
      <c r="K302" t="inlineStr">
        <is>
          <t>Forklift 3 Ton (2 Unit) _ 2 Tahun _ SPH Dikirim ke User</t>
        </is>
      </c>
    </row>
    <row r="303">
      <c r="A303" t="inlineStr">
        <is>
          <t>Fuji</t>
        </is>
      </c>
      <c r="B303" t="inlineStr"/>
      <c r="C303" t="inlineStr">
        <is>
          <t>Andreas</t>
        </is>
      </c>
      <c r="D303" t="inlineStr">
        <is>
          <t>SAS</t>
        </is>
      </c>
      <c r="E303" t="inlineStr">
        <is>
          <t>PT SUMBER ANGGUR SEJAHTERA</t>
        </is>
      </c>
      <c r="F303" t="inlineStr">
        <is>
          <t>L</t>
        </is>
      </c>
      <c r="G303" t="inlineStr">
        <is>
          <t>7.25.00376</t>
        </is>
      </c>
      <c r="H303" t="inlineStr">
        <is>
          <t>Prospect</t>
        </is>
      </c>
      <c r="I303" t="n">
        <v>59</v>
      </c>
      <c r="J303" t="n">
        <v>239</v>
      </c>
      <c r="K303" t="inlineStr">
        <is>
          <t>Forklift 3 Ton (2 Unit) _ 2 Tahun _ SPH Dikirim ke User</t>
        </is>
      </c>
    </row>
    <row r="304">
      <c r="A304" t="inlineStr">
        <is>
          <t>Fuji</t>
        </is>
      </c>
      <c r="B304" t="inlineStr"/>
      <c r="C304" t="inlineStr">
        <is>
          <t>Andreas</t>
        </is>
      </c>
      <c r="D304" t="inlineStr">
        <is>
          <t>SUNSTREAM</t>
        </is>
      </c>
      <c r="E304" t="inlineStr">
        <is>
          <t>SUNSTREAM INDONESIA</t>
        </is>
      </c>
      <c r="F304" t="inlineStr"/>
      <c r="G304" t="inlineStr">
        <is>
          <t>7.25.00379</t>
        </is>
      </c>
      <c r="H304" t="inlineStr">
        <is>
          <t>Leads</t>
        </is>
      </c>
      <c r="I304" t="n">
        <v>0</v>
      </c>
      <c r="J304" t="n">
        <v>-133</v>
      </c>
      <c r="K304" t="inlineStr">
        <is>
          <t>Reach Truck 1.5 Ton (1 Unit) _ 1 Tahun _ Canvassing awal &amp; Sales Call</t>
        </is>
      </c>
    </row>
    <row r="305">
      <c r="A305" t="inlineStr">
        <is>
          <t>Fuji</t>
        </is>
      </c>
      <c r="B305" t="inlineStr"/>
      <c r="C305" t="inlineStr">
        <is>
          <t>Andreas</t>
        </is>
      </c>
      <c r="D305" t="inlineStr">
        <is>
          <t>GGM</t>
        </is>
      </c>
      <c r="E305" t="inlineStr">
        <is>
          <t>PT GOLDEN GRAND MILLS</t>
        </is>
      </c>
      <c r="F305" t="inlineStr">
        <is>
          <t>L</t>
        </is>
      </c>
      <c r="G305" t="inlineStr">
        <is>
          <t>7.25.00417</t>
        </is>
      </c>
      <c r="H305" t="inlineStr">
        <is>
          <t>Prospect</t>
        </is>
      </c>
      <c r="I305" t="n">
        <v>17</v>
      </c>
      <c r="J305" t="n">
        <v>197</v>
      </c>
      <c r="K305" t="inlineStr">
        <is>
          <t>Forklift 3 Ton (2 Unit) _ 2 Tahun _ SPH Dikirim ke User</t>
        </is>
      </c>
    </row>
    <row r="306">
      <c r="A306" t="inlineStr">
        <is>
          <t>Fuji</t>
        </is>
      </c>
      <c r="B306" t="inlineStr"/>
      <c r="C306" t="inlineStr">
        <is>
          <t>Andreas</t>
        </is>
      </c>
      <c r="D306" t="inlineStr">
        <is>
          <t>TRANSNATI</t>
        </is>
      </c>
      <c r="E306" t="inlineStr">
        <is>
          <t>PT TRANSNATIONAL SOLUTIONS</t>
        </is>
      </c>
      <c r="F306" t="inlineStr">
        <is>
          <t>S</t>
        </is>
      </c>
      <c r="G306" t="inlineStr">
        <is>
          <t>7.25.00423</t>
        </is>
      </c>
      <c r="H306" t="inlineStr">
        <is>
          <t>Leads</t>
        </is>
      </c>
      <c r="I306" t="n">
        <v>0</v>
      </c>
      <c r="J306" t="n">
        <v>-18</v>
      </c>
      <c r="K306" t="inlineStr">
        <is>
          <t>Reach Truck 1.5 Ton (1 Unit) _ 1 Tahun _ Canvassing awal &amp; Sales Call</t>
        </is>
      </c>
    </row>
    <row r="307">
      <c r="A307" t="inlineStr">
        <is>
          <t>Fuji</t>
        </is>
      </c>
      <c r="B307" t="inlineStr"/>
      <c r="C307" t="inlineStr">
        <is>
          <t>Andreas</t>
        </is>
      </c>
      <c r="D307" t="inlineStr">
        <is>
          <t>ISTA</t>
        </is>
      </c>
      <c r="E307" t="inlineStr">
        <is>
          <t>PT ISTA INDONESIA</t>
        </is>
      </c>
      <c r="F307" t="inlineStr">
        <is>
          <t>L</t>
        </is>
      </c>
      <c r="G307" t="inlineStr">
        <is>
          <t>7.25.00439</t>
        </is>
      </c>
      <c r="H307" t="inlineStr">
        <is>
          <t>Leads</t>
        </is>
      </c>
      <c r="I307" t="n">
        <v>0</v>
      </c>
      <c r="J307" t="n">
        <v>-12</v>
      </c>
      <c r="K307" t="inlineStr">
        <is>
          <t>Reach Truck 1.5 Ton (1 Unit) _ 1 Tahun _ Canvassing awal &amp; Sales Call</t>
        </is>
      </c>
    </row>
    <row r="308">
      <c r="A308" t="inlineStr">
        <is>
          <t>Fuji</t>
        </is>
      </c>
      <c r="B308" t="inlineStr"/>
      <c r="C308" t="inlineStr">
        <is>
          <t>Andreas</t>
        </is>
      </c>
      <c r="D308" t="inlineStr">
        <is>
          <t>ISTA</t>
        </is>
      </c>
      <c r="E308" t="inlineStr">
        <is>
          <t>PT ISTA INDONESIA</t>
        </is>
      </c>
      <c r="F308" t="inlineStr">
        <is>
          <t>L</t>
        </is>
      </c>
      <c r="G308" t="inlineStr">
        <is>
          <t>7.25.00441</t>
        </is>
      </c>
      <c r="H308" t="inlineStr">
        <is>
          <t>Leads</t>
        </is>
      </c>
      <c r="I308" t="n">
        <v>0</v>
      </c>
      <c r="J308" t="n">
        <v>107</v>
      </c>
      <c r="K308" t="inlineStr">
        <is>
          <t>Reach Truck 1.5 Ton (1 Unit) _ 1 Tahun _ Canvassing awal &amp; Sales Call</t>
        </is>
      </c>
    </row>
    <row r="309">
      <c r="A309" t="inlineStr">
        <is>
          <t>Fuji</t>
        </is>
      </c>
      <c r="B309" t="inlineStr"/>
      <c r="C309" t="inlineStr">
        <is>
          <t>Andreas</t>
        </is>
      </c>
      <c r="D309" t="inlineStr">
        <is>
          <t>SMPLUS</t>
        </is>
      </c>
      <c r="E309" t="inlineStr">
        <is>
          <t>PT SMPLUS DIGITAL INVESTAMA</t>
        </is>
      </c>
      <c r="F309" t="inlineStr">
        <is>
          <t>L</t>
        </is>
      </c>
      <c r="G309" t="inlineStr">
        <is>
          <t>7.26.00059</t>
        </is>
      </c>
      <c r="H309" t="inlineStr">
        <is>
          <t>Leads</t>
        </is>
      </c>
      <c r="I309" t="n">
        <v>0</v>
      </c>
      <c r="J309" t="n">
        <v>-69</v>
      </c>
      <c r="K309" t="inlineStr">
        <is>
          <t>Reach Truck 1.5 Ton (1 Unit) _ 1 Tahun _ Canvassing awal &amp; Sales Call</t>
        </is>
      </c>
    </row>
    <row r="310">
      <c r="A310" t="inlineStr">
        <is>
          <t>Fuji</t>
        </is>
      </c>
      <c r="B310" t="inlineStr"/>
      <c r="C310" t="inlineStr">
        <is>
          <t>Andreas</t>
        </is>
      </c>
      <c r="D310" t="inlineStr">
        <is>
          <t>DSWS</t>
        </is>
      </c>
      <c r="E310" t="inlineStr">
        <is>
          <t>PT DIAN SWASTATIKA SENTOSA TBK</t>
        </is>
      </c>
      <c r="F310" t="inlineStr">
        <is>
          <t>L</t>
        </is>
      </c>
      <c r="G310" t="inlineStr">
        <is>
          <t>7.26.00074</t>
        </is>
      </c>
      <c r="H310" t="inlineStr">
        <is>
          <t>Leads</t>
        </is>
      </c>
      <c r="I310" t="n">
        <v>0</v>
      </c>
      <c r="J310" t="n">
        <v>29</v>
      </c>
      <c r="K310" t="inlineStr">
        <is>
          <t>Reach Truck 1.5 Ton (1 Unit) _ 1 Tahun _ Canvassing awal &amp; Sales Call</t>
        </is>
      </c>
    </row>
    <row r="311">
      <c r="A311" t="inlineStr">
        <is>
          <t>Fuji</t>
        </is>
      </c>
      <c r="B311" t="inlineStr"/>
      <c r="C311" t="inlineStr">
        <is>
          <t>Andreas</t>
        </is>
      </c>
      <c r="D311" t="inlineStr">
        <is>
          <t>MHII</t>
        </is>
      </c>
      <c r="E311" t="inlineStr">
        <is>
          <t>PT MITSUBISHI HEAVY INDUSTRIES INDONESIA</t>
        </is>
      </c>
      <c r="F311" t="inlineStr">
        <is>
          <t>L</t>
        </is>
      </c>
      <c r="G311" t="inlineStr">
        <is>
          <t>7.26.00112</t>
        </is>
      </c>
      <c r="H311" t="inlineStr">
        <is>
          <t>Leads</t>
        </is>
      </c>
      <c r="I311" t="n">
        <v>0</v>
      </c>
      <c r="J311" t="n">
        <v>165</v>
      </c>
      <c r="K311" t="inlineStr">
        <is>
          <t>Reach Truck 1.5 Ton (1 Unit) _ 1 Tahun _ Canvassing awal &amp; Sales Call</t>
        </is>
      </c>
    </row>
    <row r="312">
      <c r="A312" t="inlineStr">
        <is>
          <t>Fuji</t>
        </is>
      </c>
      <c r="B312" t="inlineStr"/>
      <c r="C312" t="inlineStr">
        <is>
          <t>Andreas</t>
        </is>
      </c>
      <c r="D312" t="inlineStr">
        <is>
          <t>COBELCO</t>
        </is>
      </c>
      <c r="E312" t="inlineStr">
        <is>
          <t>PT DAYA KOBELCO CONSTRUCTION MACHINERY INDONESIA</t>
        </is>
      </c>
      <c r="F312" t="inlineStr">
        <is>
          <t>L</t>
        </is>
      </c>
      <c r="G312" t="inlineStr">
        <is>
          <t>7.26.00219</t>
        </is>
      </c>
      <c r="H312" t="inlineStr">
        <is>
          <t>Prospect</t>
        </is>
      </c>
      <c r="I312" t="n">
        <v>10</v>
      </c>
      <c r="J312" t="n">
        <v>190</v>
      </c>
      <c r="K312" t="inlineStr">
        <is>
          <t>Forklift 3 Ton (2 Unit) _ 2 Tahun _ SPH Dikirim ke User</t>
        </is>
      </c>
    </row>
    <row r="313">
      <c r="A313" t="inlineStr">
        <is>
          <t>Fuji</t>
        </is>
      </c>
      <c r="B313" t="inlineStr"/>
      <c r="C313" t="inlineStr">
        <is>
          <t>Andreas</t>
        </is>
      </c>
      <c r="D313" t="inlineStr">
        <is>
          <t>SCHNEIDERI</t>
        </is>
      </c>
      <c r="E313" t="inlineStr">
        <is>
          <t>PT SCHNEIDER INDONESIA</t>
        </is>
      </c>
      <c r="F313" t="inlineStr">
        <is>
          <t>L</t>
        </is>
      </c>
      <c r="G313" t="inlineStr">
        <is>
          <t>7.26.00223</t>
        </is>
      </c>
      <c r="H313" t="inlineStr">
        <is>
          <t>Leads</t>
        </is>
      </c>
      <c r="I313" t="n">
        <v>0</v>
      </c>
      <c r="J313" t="n">
        <v>51</v>
      </c>
      <c r="K313" t="inlineStr">
        <is>
          <t>Reach Truck 1.5 Ton (1 Unit) _ 1 Tahun _ Canvassing awal &amp; Sales Call</t>
        </is>
      </c>
    </row>
    <row r="314">
      <c r="A314" t="inlineStr">
        <is>
          <t>Fuji</t>
        </is>
      </c>
      <c r="B314" t="inlineStr"/>
      <c r="C314" t="inlineStr">
        <is>
          <t>Andreas</t>
        </is>
      </c>
      <c r="D314" t="inlineStr">
        <is>
          <t>MATAPEL</t>
        </is>
      </c>
      <c r="E314" t="inlineStr">
        <is>
          <t>PT MATA PELANGI CHEMINDO</t>
        </is>
      </c>
      <c r="F314" t="inlineStr">
        <is>
          <t>L</t>
        </is>
      </c>
      <c r="G314" t="inlineStr">
        <is>
          <t>7.26.00250</t>
        </is>
      </c>
      <c r="H314" t="inlineStr">
        <is>
          <t>Leads</t>
        </is>
      </c>
      <c r="I314" t="n">
        <v>0</v>
      </c>
      <c r="J314" t="n">
        <v>59</v>
      </c>
      <c r="K314" t="inlineStr">
        <is>
          <t>Reach Truck 1.5 Ton (1 Unit) _ 1 Tahun _ Canvassing awal &amp; Sales Call</t>
        </is>
      </c>
    </row>
    <row r="315">
      <c r="A315" t="inlineStr">
        <is>
          <t>Fuji</t>
        </is>
      </c>
      <c r="B315" t="inlineStr"/>
      <c r="C315" t="inlineStr">
        <is>
          <t>Andreas</t>
        </is>
      </c>
      <c r="D315" t="inlineStr">
        <is>
          <t>JGCID</t>
        </is>
      </c>
      <c r="E315" t="inlineStr">
        <is>
          <t>PT JGC INDONESIA</t>
        </is>
      </c>
      <c r="F315" t="inlineStr">
        <is>
          <t>L</t>
        </is>
      </c>
      <c r="G315" t="inlineStr">
        <is>
          <t>7.26.00253</t>
        </is>
      </c>
      <c r="H315" t="inlineStr">
        <is>
          <t>Leads</t>
        </is>
      </c>
      <c r="I315" t="n">
        <v>0</v>
      </c>
      <c r="J315" t="n">
        <v>63</v>
      </c>
      <c r="K315" t="inlineStr">
        <is>
          <t>Reach Truck 1.5 Ton (1 Unit) _ 1 Tahun _ Canvassing awal &amp; Sales Call</t>
        </is>
      </c>
    </row>
    <row r="316">
      <c r="A316" t="inlineStr">
        <is>
          <t>Fuji</t>
        </is>
      </c>
      <c r="B316" t="inlineStr"/>
      <c r="C316" t="inlineStr">
        <is>
          <t>Andreas</t>
        </is>
      </c>
      <c r="D316" t="inlineStr">
        <is>
          <t>PERTSOLUSI</t>
        </is>
      </c>
      <c r="E316" t="inlineStr">
        <is>
          <t>PT PERMATA SOLUSINDO</t>
        </is>
      </c>
      <c r="F316" t="inlineStr">
        <is>
          <t>L</t>
        </is>
      </c>
      <c r="G316" t="inlineStr">
        <is>
          <t>7.26.00254</t>
        </is>
      </c>
      <c r="H316" t="inlineStr">
        <is>
          <t>Leads</t>
        </is>
      </c>
      <c r="I316" t="n">
        <v>0</v>
      </c>
      <c r="J316" t="n">
        <v>64</v>
      </c>
      <c r="K316" t="inlineStr">
        <is>
          <t>Reach Truck 1.5 Ton (1 Unit) _ 1 Tahun _ Canvassing awal &amp; Sales Call</t>
        </is>
      </c>
    </row>
    <row r="317">
      <c r="A317" t="inlineStr">
        <is>
          <t>Fuji</t>
        </is>
      </c>
      <c r="B317" t="inlineStr"/>
      <c r="C317" t="inlineStr">
        <is>
          <t>Andreas</t>
        </is>
      </c>
      <c r="D317" t="inlineStr">
        <is>
          <t>PERTSOLUSI</t>
        </is>
      </c>
      <c r="E317" t="inlineStr">
        <is>
          <t>PT PERMATA SOLUSINDO</t>
        </is>
      </c>
      <c r="F317" t="inlineStr">
        <is>
          <t>L</t>
        </is>
      </c>
      <c r="G317" t="inlineStr">
        <is>
          <t>7.26.00256</t>
        </is>
      </c>
      <c r="H317" t="inlineStr">
        <is>
          <t>Leads</t>
        </is>
      </c>
      <c r="I317" t="n">
        <v>0</v>
      </c>
      <c r="J317" t="n">
        <v>64</v>
      </c>
      <c r="K317" t="inlineStr">
        <is>
          <t>Reach Truck 1.5 Ton (1 Unit) _ 1 Tahun _ Canvassing awal &amp; Sales Call</t>
        </is>
      </c>
    </row>
    <row r="318">
      <c r="A318" t="inlineStr">
        <is>
          <t>Fuji</t>
        </is>
      </c>
      <c r="B318" t="inlineStr"/>
      <c r="C318" t="inlineStr">
        <is>
          <t>Andreas</t>
        </is>
      </c>
      <c r="D318" t="inlineStr">
        <is>
          <t>PERTSOLUSI</t>
        </is>
      </c>
      <c r="E318" t="inlineStr">
        <is>
          <t>PT PERMATA SOLUSINDO</t>
        </is>
      </c>
      <c r="F318" t="inlineStr">
        <is>
          <t>L</t>
        </is>
      </c>
      <c r="G318" t="inlineStr">
        <is>
          <t>7.26.00257</t>
        </is>
      </c>
      <c r="H318" t="inlineStr">
        <is>
          <t>Leads</t>
        </is>
      </c>
      <c r="I318" t="n">
        <v>0</v>
      </c>
      <c r="J318" t="n">
        <v>64</v>
      </c>
      <c r="K318" t="inlineStr">
        <is>
          <t>Reach Truck 1.5 Ton (1 Unit) _ 1 Tahun _ Canvassing awal &amp; Sales Call</t>
        </is>
      </c>
    </row>
    <row r="319">
      <c r="A319" t="inlineStr">
        <is>
          <t>Fuji</t>
        </is>
      </c>
      <c r="B319" t="inlineStr"/>
      <c r="C319" t="inlineStr">
        <is>
          <t>Andreas</t>
        </is>
      </c>
      <c r="D319" t="inlineStr">
        <is>
          <t>PANBATAM</t>
        </is>
      </c>
      <c r="E319" t="inlineStr">
        <is>
          <t>PT PANTJA AGUNG NIAGA</t>
        </is>
      </c>
      <c r="F319" t="inlineStr">
        <is>
          <t>L</t>
        </is>
      </c>
      <c r="G319" t="inlineStr">
        <is>
          <t>7.26.00268</t>
        </is>
      </c>
      <c r="H319" t="inlineStr">
        <is>
          <t>Leads</t>
        </is>
      </c>
      <c r="I319" t="n">
        <v>0</v>
      </c>
      <c r="J319" t="n">
        <v>70</v>
      </c>
      <c r="K319" t="inlineStr">
        <is>
          <t>Reach Truck 1.5 Ton (1 Unit) _ 1 Tahun _ Canvassing awal &amp; Sales Call</t>
        </is>
      </c>
    </row>
    <row r="320">
      <c r="A320" t="inlineStr">
        <is>
          <t>Fuji</t>
        </is>
      </c>
      <c r="B320" t="inlineStr"/>
      <c r="C320" t="inlineStr">
        <is>
          <t>Andreas</t>
        </is>
      </c>
      <c r="D320" t="inlineStr">
        <is>
          <t>PAN</t>
        </is>
      </c>
      <c r="E320" t="inlineStr">
        <is>
          <t>PT PANTJA ARTHA NIAGA</t>
        </is>
      </c>
      <c r="F320" t="inlineStr">
        <is>
          <t>L</t>
        </is>
      </c>
      <c r="G320" t="inlineStr">
        <is>
          <t>7.26.00284</t>
        </is>
      </c>
      <c r="H320" t="inlineStr">
        <is>
          <t>Leads</t>
        </is>
      </c>
      <c r="I320" t="n">
        <v>0</v>
      </c>
      <c r="J320" t="n">
        <v>141</v>
      </c>
      <c r="K320" t="inlineStr">
        <is>
          <t>Reach Truck 1.5 Ton (1 Unit) _ 1 Tahun _ Canvassing awal &amp; Sales Call</t>
        </is>
      </c>
    </row>
    <row r="321">
      <c r="A321" t="inlineStr">
        <is>
          <t>Fuji</t>
        </is>
      </c>
      <c r="B321" t="inlineStr"/>
      <c r="C321" t="inlineStr">
        <is>
          <t>Andreas</t>
        </is>
      </c>
      <c r="D321" t="inlineStr">
        <is>
          <t>SOLIDENERG</t>
        </is>
      </c>
      <c r="E321" t="inlineStr">
        <is>
          <t>PT SOLID ENERGI INTERNASIONAL</t>
        </is>
      </c>
      <c r="F321" t="inlineStr">
        <is>
          <t>L</t>
        </is>
      </c>
      <c r="G321" t="inlineStr">
        <is>
          <t>7.26.00294</t>
        </is>
      </c>
      <c r="H321" t="inlineStr">
        <is>
          <t>Leads</t>
        </is>
      </c>
      <c r="I321" t="n">
        <v>0</v>
      </c>
      <c r="J321" t="n">
        <v>168</v>
      </c>
      <c r="K321" t="inlineStr">
        <is>
          <t>Reach Truck 1.5 Ton (1 Unit) _ 1 Tahun _ Canvassing awal &amp; Sales Call</t>
        </is>
      </c>
    </row>
    <row r="322">
      <c r="A322" t="inlineStr">
        <is>
          <t>Fuji</t>
        </is>
      </c>
      <c r="B322" t="inlineStr"/>
      <c r="C322" t="inlineStr">
        <is>
          <t>Andreas</t>
        </is>
      </c>
      <c r="D322" t="inlineStr">
        <is>
          <t>FONTBRAND</t>
        </is>
      </c>
      <c r="E322" t="inlineStr">
        <is>
          <t>PT FONTERRA BRANDS INDONESIA</t>
        </is>
      </c>
      <c r="F322" t="inlineStr">
        <is>
          <t>S</t>
        </is>
      </c>
      <c r="G322" t="inlineStr">
        <is>
          <t>7.26.00300</t>
        </is>
      </c>
      <c r="H322" t="inlineStr">
        <is>
          <t>Leads</t>
        </is>
      </c>
      <c r="I322" t="n">
        <v>0</v>
      </c>
      <c r="J322" t="n">
        <v>91</v>
      </c>
      <c r="K322" t="inlineStr">
        <is>
          <t>Reach Truck 1.5 Ton (1 Unit) _ 1 Tahun _ Canvassing awal &amp; Sales Call</t>
        </is>
      </c>
    </row>
    <row r="323">
      <c r="A323" t="inlineStr">
        <is>
          <t>Fuji</t>
        </is>
      </c>
      <c r="B323" t="inlineStr"/>
      <c r="C323" t="inlineStr">
        <is>
          <t>Andreas</t>
        </is>
      </c>
      <c r="D323" t="inlineStr">
        <is>
          <t>HUABAOFOOD</t>
        </is>
      </c>
      <c r="E323" t="inlineStr">
        <is>
          <t>PT HUABAO FOOD TECHNOLOGY INDONESIA</t>
        </is>
      </c>
      <c r="F323" t="inlineStr">
        <is>
          <t>S</t>
        </is>
      </c>
      <c r="G323" t="inlineStr">
        <is>
          <t>7.26.00321</t>
        </is>
      </c>
      <c r="H323" t="inlineStr">
        <is>
          <t>Leads</t>
        </is>
      </c>
      <c r="I323" t="n">
        <v>0</v>
      </c>
      <c r="J323" t="n">
        <v>107</v>
      </c>
      <c r="K323" t="inlineStr">
        <is>
          <t>Reach Truck 1.5 Ton (1 Unit) _ 1 Tahun _ Canvassing awal &amp; Sales Call</t>
        </is>
      </c>
    </row>
    <row r="324">
      <c r="A324" t="inlineStr">
        <is>
          <t>Fuji</t>
        </is>
      </c>
      <c r="B324" t="inlineStr"/>
      <c r="C324" t="inlineStr">
        <is>
          <t>Andreas</t>
        </is>
      </c>
      <c r="D324" t="inlineStr">
        <is>
          <t>EASTEFLOUR</t>
        </is>
      </c>
      <c r="E324" t="inlineStr">
        <is>
          <t>PT EASTERN PEARL FLOUR MILLS</t>
        </is>
      </c>
      <c r="F324" t="inlineStr">
        <is>
          <t>L</t>
        </is>
      </c>
      <c r="G324" t="inlineStr">
        <is>
          <t>7.26.00322</t>
        </is>
      </c>
      <c r="H324" t="inlineStr">
        <is>
          <t>Prospect</t>
        </is>
      </c>
      <c r="I324" t="n">
        <v>85</v>
      </c>
      <c r="J324" t="n">
        <v>265</v>
      </c>
      <c r="K324" t="inlineStr">
        <is>
          <t>Forklift 3 Ton (2 Unit) _ 2 Tahun _ SPH Dikirim ke User</t>
        </is>
      </c>
    </row>
    <row r="325">
      <c r="A325" t="inlineStr">
        <is>
          <t>Fuji</t>
        </is>
      </c>
      <c r="B325" t="inlineStr"/>
      <c r="C325" t="inlineStr">
        <is>
          <t>Andreas</t>
        </is>
      </c>
      <c r="D325" t="inlineStr">
        <is>
          <t>ISTA</t>
        </is>
      </c>
      <c r="E325" t="inlineStr">
        <is>
          <t>PT ISTA INDONESIA</t>
        </is>
      </c>
      <c r="F325" t="inlineStr">
        <is>
          <t>L</t>
        </is>
      </c>
      <c r="G325" t="inlineStr">
        <is>
          <t>7.26.00341</t>
        </is>
      </c>
      <c r="H325" t="inlineStr">
        <is>
          <t>Prospect</t>
        </is>
      </c>
      <c r="I325" t="n">
        <v>59</v>
      </c>
      <c r="J325" t="n">
        <v>239</v>
      </c>
      <c r="K325" t="inlineStr">
        <is>
          <t>Forklift 3 Ton (2 Unit) _ 2 Tahun _ SPH Dikirim ke User</t>
        </is>
      </c>
    </row>
    <row r="326">
      <c r="A326" t="inlineStr">
        <is>
          <t>Fuji</t>
        </is>
      </c>
      <c r="B326" t="inlineStr"/>
      <c r="C326" t="inlineStr">
        <is>
          <t>Andreas</t>
        </is>
      </c>
      <c r="D326" t="inlineStr">
        <is>
          <t>ISTA</t>
        </is>
      </c>
      <c r="E326" t="inlineStr">
        <is>
          <t>PT ISTA INDONESIA</t>
        </is>
      </c>
      <c r="F326" t="inlineStr">
        <is>
          <t>L</t>
        </is>
      </c>
      <c r="G326" t="inlineStr">
        <is>
          <t>7.26.00342</t>
        </is>
      </c>
      <c r="H326" t="inlineStr">
        <is>
          <t>Prospect</t>
        </is>
      </c>
      <c r="I326" t="n">
        <v>59</v>
      </c>
      <c r="J326" t="n">
        <v>239</v>
      </c>
      <c r="K326" t="inlineStr">
        <is>
          <t>Forklift 3 Ton (2 Unit) _ 2 Tahun _ SPH Dikirim ke User</t>
        </is>
      </c>
    </row>
    <row r="327">
      <c r="A327" t="inlineStr">
        <is>
          <t>Fuji</t>
        </is>
      </c>
      <c r="B327" t="inlineStr"/>
      <c r="C327" t="inlineStr">
        <is>
          <t>Andreas</t>
        </is>
      </c>
      <c r="D327" t="inlineStr">
        <is>
          <t>ISTA</t>
        </is>
      </c>
      <c r="E327" t="inlineStr">
        <is>
          <t>PT ISTA INDONESIA</t>
        </is>
      </c>
      <c r="F327" t="inlineStr">
        <is>
          <t>L</t>
        </is>
      </c>
      <c r="G327" t="inlineStr">
        <is>
          <t>7.26.00343</t>
        </is>
      </c>
      <c r="H327" t="inlineStr">
        <is>
          <t>Prospect</t>
        </is>
      </c>
      <c r="I327" t="n">
        <v>87</v>
      </c>
      <c r="J327" t="n">
        <v>267</v>
      </c>
      <c r="K327" t="inlineStr">
        <is>
          <t>Forklift 3 Ton (2 Unit) _ 2 Tahun _ SPH Dikirim ke User</t>
        </is>
      </c>
    </row>
    <row r="328">
      <c r="A328" t="inlineStr">
        <is>
          <t>Fuji</t>
        </is>
      </c>
      <c r="B328" t="inlineStr"/>
      <c r="C328" t="inlineStr">
        <is>
          <t>Andreas</t>
        </is>
      </c>
      <c r="D328" t="inlineStr">
        <is>
          <t>IPSOSINDO</t>
        </is>
      </c>
      <c r="E328" t="inlineStr">
        <is>
          <t>PT IPSOS MARKET RESEARCH</t>
        </is>
      </c>
      <c r="F328" t="inlineStr">
        <is>
          <t>L</t>
        </is>
      </c>
      <c r="G328" t="inlineStr">
        <is>
          <t>7.26.00348</t>
        </is>
      </c>
      <c r="H328" t="inlineStr">
        <is>
          <t>Leads</t>
        </is>
      </c>
      <c r="I328" t="n">
        <v>0</v>
      </c>
      <c r="J328" t="n">
        <v>22</v>
      </c>
      <c r="K328" t="inlineStr">
        <is>
          <t>Reach Truck 1.5 Ton (1 Unit) _ 1 Tahun _ Canvassing awal &amp; Sales Call</t>
        </is>
      </c>
    </row>
    <row r="329">
      <c r="A329" t="inlineStr">
        <is>
          <t>Fuji</t>
        </is>
      </c>
      <c r="B329" t="inlineStr"/>
      <c r="C329" t="inlineStr">
        <is>
          <t>Andreas</t>
        </is>
      </c>
      <c r="D329" t="inlineStr">
        <is>
          <t>ZEIGLERIND</t>
        </is>
      </c>
      <c r="E329" t="inlineStr">
        <is>
          <t>PT ZIEGLER INDONESIA</t>
        </is>
      </c>
      <c r="F329" t="inlineStr">
        <is>
          <t>M</t>
        </is>
      </c>
      <c r="G329" t="inlineStr">
        <is>
          <t>7.26.00404</t>
        </is>
      </c>
      <c r="H329" t="inlineStr">
        <is>
          <t>Leads</t>
        </is>
      </c>
      <c r="I329" t="n">
        <v>0</v>
      </c>
      <c r="J329" t="n">
        <v>29</v>
      </c>
      <c r="K329" t="inlineStr">
        <is>
          <t>Reach Truck 1.5 Ton (1 Unit) _ 1 Tahun _ Canvassing awal &amp; Sales Call</t>
        </is>
      </c>
    </row>
    <row r="330">
      <c r="A330" t="inlineStr">
        <is>
          <t>Fuji</t>
        </is>
      </c>
      <c r="B330" t="inlineStr"/>
      <c r="C330" t="inlineStr">
        <is>
          <t>Andreas</t>
        </is>
      </c>
      <c r="D330" t="inlineStr">
        <is>
          <t>UMA</t>
        </is>
      </c>
      <c r="E330" t="inlineStr">
        <is>
          <t>UTAMA METAL ABADI</t>
        </is>
      </c>
      <c r="F330" t="inlineStr"/>
      <c r="G330" t="inlineStr">
        <is>
          <t>7.26.00422</t>
        </is>
      </c>
      <c r="H330" t="inlineStr">
        <is>
          <t>Leads</t>
        </is>
      </c>
      <c r="I330" t="n">
        <v>0</v>
      </c>
      <c r="J330" t="n">
        <v>29</v>
      </c>
      <c r="K330" t="inlineStr">
        <is>
          <t>Reach Truck 1.5 Ton (1 Unit) _ 1 Tahun _ Canvassing awal &amp; Sales Call</t>
        </is>
      </c>
    </row>
    <row r="331">
      <c r="A331" t="inlineStr">
        <is>
          <t>Fuji</t>
        </is>
      </c>
      <c r="B331" t="inlineStr"/>
      <c r="C331" t="inlineStr">
        <is>
          <t>Andreas</t>
        </is>
      </c>
      <c r="D331" t="inlineStr">
        <is>
          <t>TANLESPULP</t>
        </is>
      </c>
      <c r="E331" t="inlineStr">
        <is>
          <t>PT TANJUNGENIM LESTARI PULP AND PAPER</t>
        </is>
      </c>
      <c r="F331" t="inlineStr">
        <is>
          <t>M</t>
        </is>
      </c>
      <c r="G331" t="inlineStr">
        <is>
          <t>7.26.00433</t>
        </is>
      </c>
      <c r="H331" t="inlineStr">
        <is>
          <t>Leads</t>
        </is>
      </c>
      <c r="I331" t="n">
        <v>0</v>
      </c>
      <c r="J331" t="n">
        <v>29</v>
      </c>
      <c r="K331" t="inlineStr">
        <is>
          <t>Reach Truck 1.5 Ton (1 Unit) _ 1 Tahun _ Canvassing awal &amp; Sales Call</t>
        </is>
      </c>
    </row>
    <row r="332">
      <c r="A332" t="inlineStr">
        <is>
          <t>Fuji</t>
        </is>
      </c>
      <c r="B332" t="inlineStr"/>
      <c r="C332" t="inlineStr">
        <is>
          <t>Andreas</t>
        </is>
      </c>
      <c r="D332" t="inlineStr">
        <is>
          <t>SUMATERA</t>
        </is>
      </c>
      <c r="E332" t="inlineStr">
        <is>
          <t>SUMATERA RIANG LESTARI</t>
        </is>
      </c>
      <c r="F332" t="inlineStr"/>
      <c r="G332" t="inlineStr">
        <is>
          <t>7.26.00438</t>
        </is>
      </c>
      <c r="H332" t="inlineStr">
        <is>
          <t>Leads</t>
        </is>
      </c>
      <c r="I332" t="n">
        <v>0</v>
      </c>
      <c r="J332" t="n">
        <v>29</v>
      </c>
      <c r="K332" t="inlineStr">
        <is>
          <t>Reach Truck 1.5 Ton (1 Unit) _ 1 Tahun _ Canvassing awal &amp; Sales Call</t>
        </is>
      </c>
    </row>
    <row r="333">
      <c r="A333" t="inlineStr">
        <is>
          <t>Fuji</t>
        </is>
      </c>
      <c r="B333" t="inlineStr"/>
      <c r="C333" t="inlineStr">
        <is>
          <t>Andreas</t>
        </is>
      </c>
      <c r="D333" t="inlineStr">
        <is>
          <t>SHKG</t>
        </is>
      </c>
      <c r="E333" t="inlineStr">
        <is>
          <t>PT SHINKO KOGYO INDONESIA</t>
        </is>
      </c>
      <c r="F333" t="inlineStr">
        <is>
          <t>S</t>
        </is>
      </c>
      <c r="G333" t="inlineStr">
        <is>
          <t>7.26.00447</t>
        </is>
      </c>
      <c r="H333" t="inlineStr">
        <is>
          <t>Leads</t>
        </is>
      </c>
      <c r="I333" t="n">
        <v>0</v>
      </c>
      <c r="J333" t="n">
        <v>29</v>
      </c>
      <c r="K333" t="inlineStr">
        <is>
          <t>Reach Truck 1.5 Ton (1 Unit) _ 1 Tahun _ Canvassing awal &amp; Sales Call</t>
        </is>
      </c>
    </row>
    <row r="334">
      <c r="A334" t="inlineStr">
        <is>
          <t>Fuji</t>
        </is>
      </c>
      <c r="B334" t="inlineStr"/>
      <c r="C334" t="inlineStr">
        <is>
          <t>Andreas</t>
        </is>
      </c>
      <c r="D334" t="inlineStr">
        <is>
          <t>RKYSACKRW</t>
        </is>
      </c>
      <c r="E334" t="inlineStr">
        <is>
          <t>REKAYASA CAKRAWALA RESOURCES</t>
        </is>
      </c>
      <c r="F334" t="inlineStr">
        <is>
          <t>S</t>
        </is>
      </c>
      <c r="G334" t="inlineStr">
        <is>
          <t>7.26.00454</t>
        </is>
      </c>
      <c r="H334" t="inlineStr">
        <is>
          <t>Leads</t>
        </is>
      </c>
      <c r="I334" t="n">
        <v>0</v>
      </c>
      <c r="J334" t="n">
        <v>29</v>
      </c>
      <c r="K334" t="inlineStr">
        <is>
          <t>Reach Truck 1.5 Ton (1 Unit) _ 1 Tahun _ Canvassing awal &amp; Sales Call</t>
        </is>
      </c>
    </row>
    <row r="335">
      <c r="A335" t="inlineStr">
        <is>
          <t>Fuji</t>
        </is>
      </c>
      <c r="B335" t="inlineStr"/>
      <c r="C335" t="inlineStr">
        <is>
          <t>Andreas</t>
        </is>
      </c>
      <c r="D335" t="inlineStr">
        <is>
          <t>NEC</t>
        </is>
      </c>
      <c r="E335" t="inlineStr">
        <is>
          <t>NEC INDONESIA</t>
        </is>
      </c>
      <c r="F335" t="inlineStr"/>
      <c r="G335" t="inlineStr">
        <is>
          <t>7.26.00474</t>
        </is>
      </c>
      <c r="H335" t="inlineStr">
        <is>
          <t>Leads</t>
        </is>
      </c>
      <c r="I335" t="n">
        <v>0</v>
      </c>
      <c r="J335" t="n">
        <v>29</v>
      </c>
      <c r="K335" t="inlineStr">
        <is>
          <t>Reach Truck 1.5 Ton (1 Unit) _ 1 Tahun _ Canvassing awal &amp; Sales Call</t>
        </is>
      </c>
    </row>
    <row r="336">
      <c r="A336" t="inlineStr">
        <is>
          <t>Fuji</t>
        </is>
      </c>
      <c r="B336" t="inlineStr"/>
      <c r="C336" t="inlineStr">
        <is>
          <t>Andreas</t>
        </is>
      </c>
      <c r="D336" t="inlineStr">
        <is>
          <t>ZOOMINHEAV</t>
        </is>
      </c>
      <c r="E336" t="inlineStr">
        <is>
          <t>ZOOMLION INDONESIA HEAVY INDUSTRY</t>
        </is>
      </c>
      <c r="F336" t="inlineStr">
        <is>
          <t>M</t>
        </is>
      </c>
      <c r="G336" t="inlineStr">
        <is>
          <t>7.26.00512</t>
        </is>
      </c>
      <c r="H336" t="inlineStr">
        <is>
          <t>Leads</t>
        </is>
      </c>
      <c r="I336" t="n">
        <v>0</v>
      </c>
      <c r="J336" t="n">
        <v>36</v>
      </c>
      <c r="K336" t="inlineStr">
        <is>
          <t>Reach Truck 1.5 Ton (1 Unit) _ 1 Tahun _ Canvassing awal &amp; Sales Call</t>
        </is>
      </c>
    </row>
    <row r="337">
      <c r="A337" t="inlineStr">
        <is>
          <t>Fuji</t>
        </is>
      </c>
      <c r="B337" t="inlineStr"/>
      <c r="C337" t="inlineStr">
        <is>
          <t>Andreas</t>
        </is>
      </c>
      <c r="D337" t="inlineStr">
        <is>
          <t>WETRUCK</t>
        </is>
      </c>
      <c r="E337" t="inlineStr">
        <is>
          <t>WETRUCK TRANSPORTASI MANDIRI</t>
        </is>
      </c>
      <c r="F337" t="inlineStr">
        <is>
          <t>S</t>
        </is>
      </c>
      <c r="G337" t="inlineStr">
        <is>
          <t>7.26.00520</t>
        </is>
      </c>
      <c r="H337" t="inlineStr">
        <is>
          <t>Leads</t>
        </is>
      </c>
      <c r="I337" t="n">
        <v>0</v>
      </c>
      <c r="J337" t="n">
        <v>36</v>
      </c>
      <c r="K337" t="inlineStr">
        <is>
          <t>Reach Truck 1.5 Ton (1 Unit) _ 1 Tahun _ Canvassing awal &amp; Sales Call</t>
        </is>
      </c>
    </row>
    <row r="338">
      <c r="A338" t="inlineStr">
        <is>
          <t>Fuji</t>
        </is>
      </c>
      <c r="B338" t="inlineStr"/>
      <c r="C338" t="inlineStr">
        <is>
          <t>Andreas</t>
        </is>
      </c>
      <c r="D338" t="inlineStr">
        <is>
          <t>JAYAOBASHI</t>
        </is>
      </c>
      <c r="E338" t="inlineStr">
        <is>
          <t>JAYA OBAYASHI</t>
        </is>
      </c>
      <c r="F338" t="inlineStr">
        <is>
          <t>S</t>
        </is>
      </c>
      <c r="G338" t="inlineStr">
        <is>
          <t>7.26.00521</t>
        </is>
      </c>
      <c r="H338" t="inlineStr">
        <is>
          <t>Leads</t>
        </is>
      </c>
      <c r="I338" t="n">
        <v>0</v>
      </c>
      <c r="J338" t="n">
        <v>36</v>
      </c>
      <c r="K338" t="inlineStr">
        <is>
          <t>Reach Truck 1.5 Ton (1 Unit) _ 1 Tahun _ Canvassing awal &amp; Sales Call</t>
        </is>
      </c>
    </row>
    <row r="339">
      <c r="A339" t="inlineStr">
        <is>
          <t>Fuji</t>
        </is>
      </c>
      <c r="B339" t="inlineStr"/>
      <c r="C339" t="inlineStr">
        <is>
          <t>Andreas</t>
        </is>
      </c>
      <c r="D339" t="inlineStr">
        <is>
          <t>UPP</t>
        </is>
      </c>
      <c r="E339" t="inlineStr">
        <is>
          <t>UNGGUL PRAKARSA PRIMA</t>
        </is>
      </c>
      <c r="F339" t="inlineStr"/>
      <c r="G339" t="inlineStr">
        <is>
          <t>7.26.00523</t>
        </is>
      </c>
      <c r="H339" t="inlineStr">
        <is>
          <t>Leads</t>
        </is>
      </c>
      <c r="I339" t="n">
        <v>0</v>
      </c>
      <c r="J339" t="n">
        <v>36</v>
      </c>
      <c r="K339" t="inlineStr">
        <is>
          <t>Reach Truck 1.5 Ton (1 Unit) _ 1 Tahun _ Canvassing awal &amp; Sales Call</t>
        </is>
      </c>
    </row>
    <row r="340">
      <c r="A340" t="inlineStr">
        <is>
          <t>Fuji</t>
        </is>
      </c>
      <c r="B340" t="inlineStr"/>
      <c r="C340" t="inlineStr">
        <is>
          <t>Andreas</t>
        </is>
      </c>
      <c r="D340" t="inlineStr">
        <is>
          <t>UJPK</t>
        </is>
      </c>
      <c r="E340" t="inlineStr">
        <is>
          <t>USAHA JAYA PRIMA KARYA</t>
        </is>
      </c>
      <c r="F340" t="inlineStr"/>
      <c r="G340" t="inlineStr">
        <is>
          <t>7.26.00525</t>
        </is>
      </c>
      <c r="H340" t="inlineStr">
        <is>
          <t>Leads</t>
        </is>
      </c>
      <c r="I340" t="n">
        <v>0</v>
      </c>
      <c r="J340" t="n">
        <v>36</v>
      </c>
      <c r="K340" t="inlineStr">
        <is>
          <t>Reach Truck 1.5 Ton (1 Unit) _ 1 Tahun _ Canvassing awal &amp; Sales Call</t>
        </is>
      </c>
    </row>
    <row r="341">
      <c r="A341" t="inlineStr">
        <is>
          <t>Fuji</t>
        </is>
      </c>
      <c r="B341" t="inlineStr"/>
      <c r="C341" t="inlineStr">
        <is>
          <t>Andreas</t>
        </is>
      </c>
      <c r="D341" t="inlineStr">
        <is>
          <t>TOYOBO</t>
        </is>
      </c>
      <c r="E341" t="inlineStr">
        <is>
          <t>INDONESIA TOYOBO FILM SOLUTIONS</t>
        </is>
      </c>
      <c r="F341" t="inlineStr"/>
      <c r="G341" t="inlineStr">
        <is>
          <t>7.26.00529</t>
        </is>
      </c>
      <c r="H341" t="inlineStr">
        <is>
          <t>Leads</t>
        </is>
      </c>
      <c r="I341" t="n">
        <v>0</v>
      </c>
      <c r="J341" t="n">
        <v>36</v>
      </c>
      <c r="K341" t="inlineStr">
        <is>
          <t>Reach Truck 1.5 Ton (1 Unit) _ 1 Tahun _ Canvassing awal &amp; Sales Call</t>
        </is>
      </c>
    </row>
    <row r="342">
      <c r="A342" t="inlineStr">
        <is>
          <t>Fuji</t>
        </is>
      </c>
      <c r="B342" t="inlineStr"/>
      <c r="C342" t="inlineStr">
        <is>
          <t>Andreas</t>
        </is>
      </c>
      <c r="D342" t="inlineStr">
        <is>
          <t>TITNS</t>
        </is>
      </c>
      <c r="E342" t="inlineStr">
        <is>
          <t>TIRTA INVESTAMA</t>
        </is>
      </c>
      <c r="F342" t="inlineStr"/>
      <c r="G342" t="inlineStr">
        <is>
          <t>7.26.00538</t>
        </is>
      </c>
      <c r="H342" t="inlineStr">
        <is>
          <t>Leads</t>
        </is>
      </c>
      <c r="I342" t="n">
        <v>0</v>
      </c>
      <c r="J342" t="n">
        <v>36</v>
      </c>
      <c r="K342" t="inlineStr">
        <is>
          <t>Reach Truck 1.5 Ton (1 Unit) _ 1 Tahun _ Canvassing awal &amp; Sales Call</t>
        </is>
      </c>
    </row>
    <row r="343">
      <c r="A343" t="inlineStr">
        <is>
          <t>Fuji</t>
        </is>
      </c>
      <c r="B343" t="inlineStr"/>
      <c r="C343" t="inlineStr">
        <is>
          <t>Andreas</t>
        </is>
      </c>
      <c r="D343" t="inlineStr">
        <is>
          <t>TIRTA</t>
        </is>
      </c>
      <c r="E343" t="inlineStr">
        <is>
          <t>TIRTA ALAM SEGAR</t>
        </is>
      </c>
      <c r="F343" t="inlineStr"/>
      <c r="G343" t="inlineStr">
        <is>
          <t>7.26.00539</t>
        </is>
      </c>
      <c r="H343" t="inlineStr">
        <is>
          <t>Leads</t>
        </is>
      </c>
      <c r="I343" t="n">
        <v>0</v>
      </c>
      <c r="J343" t="n">
        <v>36</v>
      </c>
      <c r="K343" t="inlineStr">
        <is>
          <t>Reach Truck 1.5 Ton (1 Unit) _ 1 Tahun _ Canvassing awal &amp; Sales Call</t>
        </is>
      </c>
    </row>
    <row r="344">
      <c r="A344" t="inlineStr">
        <is>
          <t>Fuji</t>
        </is>
      </c>
      <c r="B344" t="inlineStr"/>
      <c r="C344" t="inlineStr">
        <is>
          <t>Andreas</t>
        </is>
      </c>
      <c r="D344" t="inlineStr">
        <is>
          <t>TENPO</t>
        </is>
      </c>
      <c r="E344" t="inlineStr">
        <is>
          <t>TENPO PLANNING</t>
        </is>
      </c>
      <c r="F344" t="inlineStr"/>
      <c r="G344" t="inlineStr">
        <is>
          <t>7.26.00540</t>
        </is>
      </c>
      <c r="H344" t="inlineStr">
        <is>
          <t>Leads</t>
        </is>
      </c>
      <c r="I344" t="n">
        <v>0</v>
      </c>
      <c r="J344" t="n">
        <v>36</v>
      </c>
      <c r="K344" t="inlineStr">
        <is>
          <t>Reach Truck 1.5 Ton (1 Unit) _ 1 Tahun _ Canvassing awal &amp; Sales Call</t>
        </is>
      </c>
    </row>
    <row r="345">
      <c r="A345" t="inlineStr">
        <is>
          <t>Fuji</t>
        </is>
      </c>
      <c r="B345" t="inlineStr"/>
      <c r="C345" t="inlineStr">
        <is>
          <t>Andreas</t>
        </is>
      </c>
      <c r="D345" t="inlineStr">
        <is>
          <t>TATAMULIA</t>
        </is>
      </c>
      <c r="E345" t="inlineStr">
        <is>
          <t>TATAMULIA NUSANTARA INDAH</t>
        </is>
      </c>
      <c r="F345" t="inlineStr"/>
      <c r="G345" t="inlineStr">
        <is>
          <t>7.26.00541</t>
        </is>
      </c>
      <c r="H345" t="inlineStr">
        <is>
          <t>Leads</t>
        </is>
      </c>
      <c r="I345" t="n">
        <v>0</v>
      </c>
      <c r="J345" t="n">
        <v>36</v>
      </c>
      <c r="K345" t="inlineStr">
        <is>
          <t>Reach Truck 1.5 Ton (1 Unit) _ 1 Tahun _ Canvassing awal &amp; Sales Call</t>
        </is>
      </c>
    </row>
    <row r="346">
      <c r="A346" t="inlineStr">
        <is>
          <t>Fuji</t>
        </is>
      </c>
      <c r="B346" t="inlineStr"/>
      <c r="C346" t="inlineStr">
        <is>
          <t>Andreas</t>
        </is>
      </c>
      <c r="D346" t="inlineStr">
        <is>
          <t>TANPUTERA</t>
        </is>
      </c>
      <c r="E346" t="inlineStr">
        <is>
          <t>TAN PUTRA TAMA</t>
        </is>
      </c>
      <c r="F346" t="inlineStr">
        <is>
          <t>S</t>
        </is>
      </c>
      <c r="G346" t="inlineStr">
        <is>
          <t>7.26.00542</t>
        </is>
      </c>
      <c r="H346" t="inlineStr">
        <is>
          <t>Leads</t>
        </is>
      </c>
      <c r="I346" t="n">
        <v>0</v>
      </c>
      <c r="J346" t="n">
        <v>36</v>
      </c>
      <c r="K346" t="inlineStr">
        <is>
          <t>Reach Truck 1.5 Ton (1 Unit) _ 1 Tahun _ Canvassing awal &amp; Sales Call</t>
        </is>
      </c>
    </row>
    <row r="347">
      <c r="A347" t="inlineStr">
        <is>
          <t>Fuji</t>
        </is>
      </c>
      <c r="B347" t="inlineStr"/>
      <c r="C347" t="inlineStr">
        <is>
          <t>Andreas</t>
        </is>
      </c>
      <c r="D347" t="inlineStr">
        <is>
          <t>SPIJ</t>
        </is>
      </c>
      <c r="E347" t="inlineStr">
        <is>
          <t>TENARIS SEAMLESS PIPE INDONESIA JAYA</t>
        </is>
      </c>
      <c r="F347" t="inlineStr"/>
      <c r="G347" t="inlineStr">
        <is>
          <t>7.26.00553</t>
        </is>
      </c>
      <c r="H347" t="inlineStr">
        <is>
          <t>Leads</t>
        </is>
      </c>
      <c r="I347" t="n">
        <v>0</v>
      </c>
      <c r="J347" t="n">
        <v>36</v>
      </c>
      <c r="K347" t="inlineStr">
        <is>
          <t>Reach Truck 1.5 Ton (1 Unit) _ 1 Tahun _ Canvassing awal &amp; Sales Call</t>
        </is>
      </c>
    </row>
    <row r="348">
      <c r="A348" t="inlineStr">
        <is>
          <t>Fuji</t>
        </is>
      </c>
      <c r="B348" t="inlineStr"/>
      <c r="C348" t="inlineStr">
        <is>
          <t>Andreas</t>
        </is>
      </c>
      <c r="D348" t="inlineStr">
        <is>
          <t>SMS</t>
        </is>
      </c>
      <c r="E348" t="inlineStr">
        <is>
          <t>SUKSES MAKMUR SELARAS</t>
        </is>
      </c>
      <c r="F348" t="inlineStr"/>
      <c r="G348" t="inlineStr">
        <is>
          <t>7.26.00556</t>
        </is>
      </c>
      <c r="H348" t="inlineStr">
        <is>
          <t>Leads</t>
        </is>
      </c>
      <c r="I348" t="n">
        <v>0</v>
      </c>
      <c r="J348" t="n">
        <v>36</v>
      </c>
      <c r="K348" t="inlineStr">
        <is>
          <t>Reach Truck 1.5 Ton (1 Unit) _ 1 Tahun _ Canvassing awal &amp; Sales Call</t>
        </is>
      </c>
    </row>
    <row r="349">
      <c r="A349" t="inlineStr">
        <is>
          <t>Fuji</t>
        </is>
      </c>
      <c r="B349" t="inlineStr"/>
      <c r="C349" t="inlineStr">
        <is>
          <t>Andreas</t>
        </is>
      </c>
      <c r="D349" t="inlineStr">
        <is>
          <t>ROYALPLAST</t>
        </is>
      </c>
      <c r="E349" t="inlineStr">
        <is>
          <t>ROYAL PLASTINDO MEGANTARA</t>
        </is>
      </c>
      <c r="F349" t="inlineStr"/>
      <c r="G349" t="inlineStr">
        <is>
          <t>7.26.00566</t>
        </is>
      </c>
      <c r="H349" t="inlineStr">
        <is>
          <t>Leads</t>
        </is>
      </c>
      <c r="I349" t="n">
        <v>0</v>
      </c>
      <c r="J349" t="n">
        <v>36</v>
      </c>
      <c r="K349" t="inlineStr">
        <is>
          <t>Reach Truck 1.5 Ton (1 Unit) _ 1 Tahun _ Canvassing awal &amp; Sales Call</t>
        </is>
      </c>
    </row>
    <row r="350">
      <c r="A350" t="inlineStr">
        <is>
          <t>Fuji</t>
        </is>
      </c>
      <c r="B350" t="inlineStr"/>
      <c r="C350" t="inlineStr">
        <is>
          <t>Andreas</t>
        </is>
      </c>
      <c r="D350" t="inlineStr">
        <is>
          <t>CNCECINDOO</t>
        </is>
      </c>
      <c r="E350" t="inlineStr">
        <is>
          <t>PT CNCEC INDONESIA</t>
        </is>
      </c>
      <c r="F350" t="inlineStr">
        <is>
          <t>L</t>
        </is>
      </c>
      <c r="G350" t="inlineStr">
        <is>
          <t>7.26.00571</t>
        </is>
      </c>
      <c r="H350" t="inlineStr">
        <is>
          <t>Leads</t>
        </is>
      </c>
      <c r="I350" t="n">
        <v>0</v>
      </c>
      <c r="J350" t="n">
        <v>130</v>
      </c>
      <c r="K350" t="inlineStr">
        <is>
          <t>Reach Truck 1.5 Ton (1 Unit) _ 1 Tahun _ Canvassing awal &amp; Sales Call</t>
        </is>
      </c>
    </row>
    <row r="351">
      <c r="A351" t="inlineStr">
        <is>
          <t>Fuji</t>
        </is>
      </c>
      <c r="B351" t="inlineStr"/>
      <c r="C351" t="inlineStr">
        <is>
          <t>Andreas</t>
        </is>
      </c>
      <c r="D351" t="inlineStr">
        <is>
          <t>CNCECINDOO</t>
        </is>
      </c>
      <c r="E351" t="inlineStr">
        <is>
          <t>PT CNCEC INDONESIA</t>
        </is>
      </c>
      <c r="F351" t="inlineStr">
        <is>
          <t>L</t>
        </is>
      </c>
      <c r="G351" t="inlineStr">
        <is>
          <t>7.26.00573</t>
        </is>
      </c>
      <c r="H351" t="inlineStr">
        <is>
          <t>Leads</t>
        </is>
      </c>
      <c r="I351" t="n">
        <v>0</v>
      </c>
      <c r="J351" t="n">
        <v>130</v>
      </c>
      <c r="K351" t="inlineStr">
        <is>
          <t>Reach Truck 1.5 Ton (1 Unit) _ 1 Tahun _ Canvassing awal &amp; Sales Call</t>
        </is>
      </c>
    </row>
    <row r="352">
      <c r="A352" t="inlineStr">
        <is>
          <t>Fuji</t>
        </is>
      </c>
      <c r="B352" t="inlineStr"/>
      <c r="C352" t="inlineStr">
        <is>
          <t>Andreas</t>
        </is>
      </c>
      <c r="D352" t="inlineStr">
        <is>
          <t>TOBASURIMI</t>
        </is>
      </c>
      <c r="E352" t="inlineStr">
        <is>
          <t>PT TOBA SURIMI INDONUSANTARA</t>
        </is>
      </c>
      <c r="F352" t="inlineStr">
        <is>
          <t>L</t>
        </is>
      </c>
      <c r="G352" t="inlineStr">
        <is>
          <t>7.26.00582</t>
        </is>
      </c>
      <c r="H352" t="inlineStr">
        <is>
          <t>Leads</t>
        </is>
      </c>
      <c r="I352" t="n">
        <v>0</v>
      </c>
      <c r="J352" t="n">
        <v>46</v>
      </c>
      <c r="K352" t="inlineStr">
        <is>
          <t>Reach Truck 1.5 Ton (1 Unit) _ 1 Tahun _ Canvassing awal &amp; Sales Call</t>
        </is>
      </c>
    </row>
    <row r="353">
      <c r="A353" t="inlineStr">
        <is>
          <t>Fuji</t>
        </is>
      </c>
      <c r="B353" t="inlineStr"/>
      <c r="C353" t="inlineStr">
        <is>
          <t>Andreas</t>
        </is>
      </c>
      <c r="D353" t="inlineStr">
        <is>
          <t>PAN</t>
        </is>
      </c>
      <c r="E353" t="inlineStr">
        <is>
          <t>PT PANTJA ARTHA NIAGA</t>
        </is>
      </c>
      <c r="F353" t="inlineStr">
        <is>
          <t>L</t>
        </is>
      </c>
      <c r="G353" t="inlineStr">
        <is>
          <t>7.26.00584</t>
        </is>
      </c>
      <c r="H353" t="inlineStr">
        <is>
          <t>Prospect</t>
        </is>
      </c>
      <c r="I353" t="n">
        <v>88</v>
      </c>
      <c r="J353" t="n">
        <v>268</v>
      </c>
      <c r="K353" t="inlineStr">
        <is>
          <t>Forklift 3 Ton (2 Unit) _ 2 Tahun _ SPH Dikirim ke User</t>
        </is>
      </c>
    </row>
    <row r="354">
      <c r="A354" t="inlineStr">
        <is>
          <t>Fuji</t>
        </is>
      </c>
      <c r="B354" t="inlineStr"/>
      <c r="C354" t="inlineStr">
        <is>
          <t>Andreas</t>
        </is>
      </c>
      <c r="D354" t="inlineStr">
        <is>
          <t>AZBERIND</t>
        </is>
      </c>
      <c r="E354" t="inlineStr">
        <is>
          <t>PT AZBIL BERCA INDONESIA</t>
        </is>
      </c>
      <c r="F354" t="inlineStr">
        <is>
          <t>L</t>
        </is>
      </c>
      <c r="G354" t="inlineStr">
        <is>
          <t>7.26.00610</t>
        </is>
      </c>
      <c r="H354" t="inlineStr">
        <is>
          <t>Leads</t>
        </is>
      </c>
      <c r="I354" t="n">
        <v>0</v>
      </c>
      <c r="J354" t="n">
        <v>148</v>
      </c>
      <c r="K354" t="inlineStr">
        <is>
          <t>Reach Truck 1.5 Ton (1 Unit) _ 1 Tahun _ Canvassing awal &amp; Sales Call</t>
        </is>
      </c>
    </row>
    <row r="355">
      <c r="A355" t="inlineStr">
        <is>
          <t>Fuji</t>
        </is>
      </c>
      <c r="B355" t="inlineStr"/>
      <c r="C355" t="inlineStr">
        <is>
          <t>Andreas</t>
        </is>
      </c>
      <c r="D355" t="inlineStr">
        <is>
          <t>SURYAKALIM</t>
        </is>
      </c>
      <c r="E355" t="inlineStr">
        <is>
          <t>PT SURYA KALIMANTAN SEJATI</t>
        </is>
      </c>
      <c r="F355" t="inlineStr">
        <is>
          <t>L</t>
        </is>
      </c>
      <c r="G355" t="inlineStr">
        <is>
          <t>7.26.00619</t>
        </is>
      </c>
      <c r="H355" t="inlineStr">
        <is>
          <t>Leads</t>
        </is>
      </c>
      <c r="I355" t="n">
        <v>0</v>
      </c>
      <c r="J355" t="n">
        <v>164</v>
      </c>
      <c r="K355" t="inlineStr">
        <is>
          <t>Reach Truck 1.5 Ton (1 Unit) _ 1 Tahun _ Canvassing awal &amp; Sales Call</t>
        </is>
      </c>
    </row>
    <row r="356">
      <c r="A356" t="inlineStr">
        <is>
          <t>Fuji</t>
        </is>
      </c>
      <c r="B356" t="inlineStr"/>
      <c r="C356" t="inlineStr">
        <is>
          <t>Andreas</t>
        </is>
      </c>
      <c r="D356" t="inlineStr">
        <is>
          <t>PELITBAN</t>
        </is>
      </c>
      <c r="E356" t="inlineStr">
        <is>
          <t>PT PELITA ABADI NIAGA</t>
        </is>
      </c>
      <c r="F356" t="inlineStr">
        <is>
          <t>L</t>
        </is>
      </c>
      <c r="G356" t="inlineStr">
        <is>
          <t>7.26.00669</t>
        </is>
      </c>
      <c r="H356" t="inlineStr">
        <is>
          <t>Prospect</t>
        </is>
      </c>
      <c r="I356" t="n">
        <v>79</v>
      </c>
      <c r="J356" t="n">
        <v>259</v>
      </c>
      <c r="K356" t="inlineStr">
        <is>
          <t>Forklift 3 Ton (2 Unit) _ 2 Tahun _ SPH Dikirim ke User</t>
        </is>
      </c>
    </row>
    <row r="357">
      <c r="A357" t="inlineStr">
        <is>
          <t>Fuji</t>
        </is>
      </c>
      <c r="B357" t="inlineStr"/>
      <c r="C357" t="inlineStr">
        <is>
          <t>Andreas</t>
        </is>
      </c>
      <c r="D357" t="inlineStr">
        <is>
          <t>ARCHITACHI</t>
        </is>
      </c>
      <c r="E357" t="inlineStr">
        <is>
          <t>ARCELIK HITACHI HOME APPLIANCES SALES INDONESIA</t>
        </is>
      </c>
      <c r="F357" t="inlineStr"/>
      <c r="G357" t="inlineStr">
        <is>
          <t>7.26.00672</t>
        </is>
      </c>
      <c r="H357" t="inlineStr">
        <is>
          <t>Leads</t>
        </is>
      </c>
      <c r="I357" t="n">
        <v>0</v>
      </c>
      <c r="J357" t="n">
        <v>65</v>
      </c>
      <c r="K357" t="inlineStr">
        <is>
          <t>Reach Truck 1.5 Ton (1 Unit) _ 1 Tahun _ Canvassing awal &amp; Sales Call</t>
        </is>
      </c>
    </row>
    <row r="358">
      <c r="A358" t="inlineStr">
        <is>
          <t>Fuji</t>
        </is>
      </c>
      <c r="B358" t="inlineStr"/>
      <c r="C358" t="inlineStr">
        <is>
          <t>Andreas</t>
        </is>
      </c>
      <c r="D358" t="inlineStr">
        <is>
          <t>AZBERIND</t>
        </is>
      </c>
      <c r="E358" t="inlineStr">
        <is>
          <t>PT AZBIL BERCA INDONESIA</t>
        </is>
      </c>
      <c r="F358" t="inlineStr">
        <is>
          <t>L</t>
        </is>
      </c>
      <c r="G358" t="inlineStr">
        <is>
          <t>7.26.00680</t>
        </is>
      </c>
      <c r="H358" t="inlineStr">
        <is>
          <t>Prospect</t>
        </is>
      </c>
      <c r="I358" t="n">
        <v>86</v>
      </c>
      <c r="J358" t="n">
        <v>266</v>
      </c>
      <c r="K358" t="inlineStr">
        <is>
          <t>Forklift 3 Ton (2 Unit) _ 2 Tahun _ SPH Dikirim ke User</t>
        </is>
      </c>
    </row>
    <row r="359">
      <c r="A359" t="inlineStr">
        <is>
          <t>Fuji</t>
        </is>
      </c>
      <c r="B359" t="inlineStr"/>
      <c r="C359" t="inlineStr">
        <is>
          <t>Andreas</t>
        </is>
      </c>
      <c r="D359" t="inlineStr">
        <is>
          <t>PRABHU</t>
        </is>
      </c>
      <c r="E359" t="inlineStr">
        <is>
          <t>PERKASA ABDI BHUANA</t>
        </is>
      </c>
      <c r="F359" t="inlineStr">
        <is>
          <t>S</t>
        </is>
      </c>
      <c r="G359" t="inlineStr">
        <is>
          <t>7.26.00691</t>
        </is>
      </c>
      <c r="H359" t="inlineStr">
        <is>
          <t>Prospect</t>
        </is>
      </c>
      <c r="I359" t="n">
        <v>81</v>
      </c>
      <c r="J359" t="n">
        <v>261</v>
      </c>
      <c r="K359" t="inlineStr">
        <is>
          <t>Forklift 3 Ton (2 Unit) _ 2 Tahun _ SPH Dikirim ke User</t>
        </is>
      </c>
    </row>
    <row r="360">
      <c r="A360" t="inlineStr">
        <is>
          <t>Fuji</t>
        </is>
      </c>
      <c r="B360" t="inlineStr"/>
      <c r="C360" t="inlineStr">
        <is>
          <t>Andreas</t>
        </is>
      </c>
      <c r="D360" t="inlineStr">
        <is>
          <t>PANNIAGA</t>
        </is>
      </c>
      <c r="E360" t="inlineStr">
        <is>
          <t>PT PURI ARTHA NIAGA</t>
        </is>
      </c>
      <c r="F360" t="inlineStr">
        <is>
          <t>L</t>
        </is>
      </c>
      <c r="G360" t="inlineStr">
        <is>
          <t>7.26.00708</t>
        </is>
      </c>
      <c r="H360" t="inlineStr">
        <is>
          <t>Prospect</t>
        </is>
      </c>
      <c r="I360" t="n">
        <v>47</v>
      </c>
      <c r="J360" t="n">
        <v>227</v>
      </c>
      <c r="K360" t="inlineStr">
        <is>
          <t>Forklift 3 Ton (2 Unit) _ 2 Tahun _ SPH Dikirim ke User</t>
        </is>
      </c>
    </row>
    <row r="361">
      <c r="A361" t="inlineStr">
        <is>
          <t>Fuji</t>
        </is>
      </c>
      <c r="B361" t="inlineStr"/>
      <c r="C361" t="inlineStr">
        <is>
          <t>Andreas</t>
        </is>
      </c>
      <c r="D361" t="inlineStr">
        <is>
          <t>DSVCONTRA</t>
        </is>
      </c>
      <c r="E361" t="inlineStr">
        <is>
          <t>PT DSV CONTRACT LOGISTICS</t>
        </is>
      </c>
      <c r="F361" t="inlineStr">
        <is>
          <t>L</t>
        </is>
      </c>
      <c r="G361" t="inlineStr">
        <is>
          <t>7.26.00780</t>
        </is>
      </c>
      <c r="H361" t="inlineStr">
        <is>
          <t>Prospect</t>
        </is>
      </c>
      <c r="I361" t="n">
        <v>10</v>
      </c>
      <c r="J361" t="n">
        <v>190</v>
      </c>
      <c r="K361" t="inlineStr">
        <is>
          <t>Forklift 3 Ton (2 Unit) _ 2 Tahun _ SPH Dikirim ke User</t>
        </is>
      </c>
    </row>
    <row r="362">
      <c r="A362" t="inlineStr">
        <is>
          <t>Fuji</t>
        </is>
      </c>
      <c r="B362" t="inlineStr"/>
      <c r="C362" t="inlineStr">
        <is>
          <t>Andreas</t>
        </is>
      </c>
      <c r="D362" t="inlineStr">
        <is>
          <t>DSVCONTRA</t>
        </is>
      </c>
      <c r="E362" t="inlineStr">
        <is>
          <t>PT DSV CONTRACT LOGISTICS</t>
        </is>
      </c>
      <c r="F362" t="inlineStr">
        <is>
          <t>L</t>
        </is>
      </c>
      <c r="G362" t="inlineStr">
        <is>
          <t>7.26.00792</t>
        </is>
      </c>
      <c r="H362" t="inlineStr">
        <is>
          <t>Prospect</t>
        </is>
      </c>
      <c r="I362" t="n">
        <v>10</v>
      </c>
      <c r="J362" t="n">
        <v>190</v>
      </c>
      <c r="K362" t="inlineStr">
        <is>
          <t>Forklift 3 Ton (2 Unit) _ 2 Tahun _ SPH Dikirim ke User</t>
        </is>
      </c>
    </row>
    <row r="363">
      <c r="A363" t="inlineStr">
        <is>
          <t>Fuji</t>
        </is>
      </c>
      <c r="B363" t="inlineStr"/>
      <c r="C363" t="inlineStr">
        <is>
          <t>Andreas</t>
        </is>
      </c>
      <c r="D363" t="inlineStr">
        <is>
          <t>KAWANINTII</t>
        </is>
      </c>
      <c r="E363" t="inlineStr">
        <is>
          <t>PT KAWAN INTI INDONESIA</t>
        </is>
      </c>
      <c r="F363" t="inlineStr">
        <is>
          <t>L</t>
        </is>
      </c>
      <c r="G363" t="inlineStr">
        <is>
          <t>7.26.00817</t>
        </is>
      </c>
      <c r="H363" t="inlineStr">
        <is>
          <t>Leads</t>
        </is>
      </c>
      <c r="I363" t="n">
        <v>0</v>
      </c>
      <c r="J363" t="n">
        <v>105</v>
      </c>
      <c r="K363" t="inlineStr">
        <is>
          <t>Reach Truck 1.5 Ton (1 Unit) _ 1 Tahun _ Canvassing awal &amp; Sales Call</t>
        </is>
      </c>
    </row>
    <row r="364">
      <c r="A364" t="inlineStr">
        <is>
          <t>Fuji</t>
        </is>
      </c>
      <c r="B364" t="inlineStr"/>
      <c r="C364" t="inlineStr">
        <is>
          <t>Andreas</t>
        </is>
      </c>
      <c r="D364" t="inlineStr">
        <is>
          <t>TATABANDAR</t>
        </is>
      </c>
      <c r="E364" t="inlineStr">
        <is>
          <t>PT TATA BANDAR SAMUDERA</t>
        </is>
      </c>
      <c r="F364" t="inlineStr">
        <is>
          <t>L</t>
        </is>
      </c>
      <c r="G364" t="inlineStr">
        <is>
          <t>7.26.00839</t>
        </is>
      </c>
      <c r="H364" t="inlineStr">
        <is>
          <t>Prospect</t>
        </is>
      </c>
      <c r="I364" t="n">
        <v>18</v>
      </c>
      <c r="J364" t="n">
        <v>198</v>
      </c>
      <c r="K364" t="inlineStr">
        <is>
          <t>Forklift 3 Ton (2 Unit) _ 2 Tahun _ SPH Dikirim ke User</t>
        </is>
      </c>
    </row>
    <row r="365">
      <c r="A365" t="inlineStr">
        <is>
          <t>Fuji</t>
        </is>
      </c>
      <c r="B365" t="inlineStr"/>
      <c r="C365" t="inlineStr">
        <is>
          <t>Andreas</t>
        </is>
      </c>
      <c r="D365" t="inlineStr">
        <is>
          <t>STARCOMSOL</t>
        </is>
      </c>
      <c r="E365" t="inlineStr">
        <is>
          <t>PT STARCOM SOLUSINDO</t>
        </is>
      </c>
      <c r="F365" t="inlineStr">
        <is>
          <t>L</t>
        </is>
      </c>
      <c r="G365" t="inlineStr">
        <is>
          <t>7.26.00860</t>
        </is>
      </c>
      <c r="H365" t="inlineStr">
        <is>
          <t>Prospect</t>
        </is>
      </c>
      <c r="I365" t="n">
        <v>23</v>
      </c>
      <c r="J365" t="n">
        <v>203</v>
      </c>
      <c r="K365" t="inlineStr">
        <is>
          <t>Forklift 3 Ton (2 Unit) _ 2 Tahun _ SPH Dikirim ke User</t>
        </is>
      </c>
    </row>
    <row r="366">
      <c r="A366" t="inlineStr">
        <is>
          <t>Fuji</t>
        </is>
      </c>
      <c r="B366" t="inlineStr"/>
      <c r="C366" t="inlineStr">
        <is>
          <t>Andreas</t>
        </is>
      </c>
      <c r="D366" t="inlineStr">
        <is>
          <t>ARTAPALATE</t>
        </is>
      </c>
      <c r="E366" t="inlineStr">
        <is>
          <t>ARTAPALA TELEKOMINDO</t>
        </is>
      </c>
      <c r="F366" t="inlineStr"/>
      <c r="G366" t="inlineStr">
        <is>
          <t>7.26.00871</t>
        </is>
      </c>
      <c r="H366" t="inlineStr">
        <is>
          <t>Leads</t>
        </is>
      </c>
      <c r="I366" t="n">
        <v>0</v>
      </c>
      <c r="J366" t="n">
        <v>114</v>
      </c>
      <c r="K366" t="inlineStr">
        <is>
          <t>Reach Truck 1.5 Ton (1 Unit) _ 1 Tahun _ Canvassing awal &amp; Sales Call</t>
        </is>
      </c>
    </row>
    <row r="367">
      <c r="A367" t="inlineStr">
        <is>
          <t>Fuji</t>
        </is>
      </c>
      <c r="B367" t="inlineStr"/>
      <c r="C367" t="inlineStr">
        <is>
          <t>Andreas</t>
        </is>
      </c>
      <c r="D367" t="inlineStr">
        <is>
          <t>DKSHINDO</t>
        </is>
      </c>
      <c r="E367" t="inlineStr">
        <is>
          <t>DKSH INDONESIA</t>
        </is>
      </c>
      <c r="F367" t="inlineStr"/>
      <c r="G367" t="inlineStr">
        <is>
          <t>7.26.00932</t>
        </is>
      </c>
      <c r="H367" t="inlineStr">
        <is>
          <t>Leads</t>
        </is>
      </c>
      <c r="I367" t="n">
        <v>0</v>
      </c>
      <c r="J367" t="n">
        <v>114</v>
      </c>
      <c r="K367" t="inlineStr">
        <is>
          <t>Reach Truck 1.5 Ton (1 Unit) _ 1 Tahun _ Canvassing awal &amp; Sales Call</t>
        </is>
      </c>
    </row>
    <row r="368">
      <c r="A368" t="inlineStr">
        <is>
          <t>Fuji</t>
        </is>
      </c>
      <c r="B368" t="inlineStr"/>
      <c r="C368" t="inlineStr">
        <is>
          <t>Andreas</t>
        </is>
      </c>
      <c r="D368" t="inlineStr">
        <is>
          <t>EAR</t>
        </is>
      </c>
      <c r="E368" t="inlineStr">
        <is>
          <t>ERAFONE ARTHA RETAILINDO</t>
        </is>
      </c>
      <c r="F368" t="inlineStr"/>
      <c r="G368" t="inlineStr">
        <is>
          <t>7.26.00937</t>
        </is>
      </c>
      <c r="H368" t="inlineStr">
        <is>
          <t>Leads</t>
        </is>
      </c>
      <c r="I368" t="n">
        <v>0</v>
      </c>
      <c r="J368" t="n">
        <v>114</v>
      </c>
      <c r="K368" t="inlineStr">
        <is>
          <t>Reach Truck 1.5 Ton (1 Unit) _ 1 Tahun _ Canvassing awal &amp; Sales Call</t>
        </is>
      </c>
    </row>
    <row r="369">
      <c r="A369" t="inlineStr">
        <is>
          <t>Fuji</t>
        </is>
      </c>
      <c r="B369" t="inlineStr"/>
      <c r="C369" t="inlineStr">
        <is>
          <t>Andreas</t>
        </is>
      </c>
      <c r="D369" t="inlineStr">
        <is>
          <t>EMS</t>
        </is>
      </c>
      <c r="E369" t="inlineStr">
        <is>
          <t>EMS INDOAPPLIANCES</t>
        </is>
      </c>
      <c r="F369" t="inlineStr"/>
      <c r="G369" t="inlineStr">
        <is>
          <t>7.26.00941</t>
        </is>
      </c>
      <c r="H369" t="inlineStr">
        <is>
          <t>Leads</t>
        </is>
      </c>
      <c r="I369" t="n">
        <v>0</v>
      </c>
      <c r="J369" t="n">
        <v>114</v>
      </c>
      <c r="K369" t="inlineStr">
        <is>
          <t>Reach Truck 1.5 Ton (1 Unit) _ 1 Tahun _ Canvassing awal &amp; Sales Call</t>
        </is>
      </c>
    </row>
    <row r="370">
      <c r="A370" t="inlineStr">
        <is>
          <t>Fuji</t>
        </is>
      </c>
      <c r="B370" t="inlineStr"/>
      <c r="C370" t="inlineStr">
        <is>
          <t>Andreas</t>
        </is>
      </c>
      <c r="D370" t="inlineStr">
        <is>
          <t>INKA</t>
        </is>
      </c>
      <c r="E370" t="inlineStr">
        <is>
          <t>INDUSTRI KERETA API</t>
        </is>
      </c>
      <c r="F370" t="inlineStr">
        <is>
          <t>S</t>
        </is>
      </c>
      <c r="G370" t="inlineStr">
        <is>
          <t>7.26.01071</t>
        </is>
      </c>
      <c r="H370" t="inlineStr">
        <is>
          <t>Leads</t>
        </is>
      </c>
      <c r="I370" t="n">
        <v>0</v>
      </c>
      <c r="J370" t="n">
        <v>114</v>
      </c>
      <c r="K370" t="inlineStr">
        <is>
          <t>Reach Truck 1.5 Ton (1 Unit) _ 1 Tahun _ Canvassing awal &amp; Sales Call</t>
        </is>
      </c>
    </row>
    <row r="371">
      <c r="A371" t="inlineStr">
        <is>
          <t>Fuji</t>
        </is>
      </c>
      <c r="B371" t="inlineStr"/>
      <c r="C371" t="inlineStr">
        <is>
          <t>Andreas</t>
        </is>
      </c>
      <c r="D371" t="inlineStr">
        <is>
          <t>JASINDOSYA</t>
        </is>
      </c>
      <c r="E371" t="inlineStr">
        <is>
          <t>PT ASURANSI JASINDO SYARIAH</t>
        </is>
      </c>
      <c r="F371" t="inlineStr">
        <is>
          <t>L</t>
        </is>
      </c>
      <c r="G371" t="inlineStr">
        <is>
          <t>7.26.01082</t>
        </is>
      </c>
      <c r="H371" t="inlineStr">
        <is>
          <t>Leads</t>
        </is>
      </c>
      <c r="I371" t="n">
        <v>0</v>
      </c>
      <c r="J371" t="n">
        <v>114</v>
      </c>
      <c r="K371" t="inlineStr">
        <is>
          <t>Reach Truck 1.5 Ton (1 Unit) _ 1 Tahun _ Canvassing awal &amp; Sales Call</t>
        </is>
      </c>
    </row>
    <row r="372">
      <c r="A372" t="inlineStr">
        <is>
          <t>Fuji</t>
        </is>
      </c>
      <c r="B372" t="inlineStr"/>
      <c r="C372" t="inlineStr">
        <is>
          <t>Andreas</t>
        </is>
      </c>
      <c r="D372" t="inlineStr">
        <is>
          <t>ASTRAZENEC</t>
        </is>
      </c>
      <c r="E372" t="inlineStr">
        <is>
          <t>ASTRAZENECA INDONESIA</t>
        </is>
      </c>
      <c r="F372" t="inlineStr"/>
      <c r="G372" t="inlineStr">
        <is>
          <t>7.26.01162</t>
        </is>
      </c>
      <c r="H372" t="inlineStr">
        <is>
          <t>Leads</t>
        </is>
      </c>
      <c r="I372" t="n">
        <v>0</v>
      </c>
      <c r="J372" t="n">
        <v>114</v>
      </c>
      <c r="K372" t="inlineStr">
        <is>
          <t>Reach Truck 1.5 Ton (1 Unit) _ 1 Tahun _ Canvassing awal &amp; Sales Call</t>
        </is>
      </c>
    </row>
    <row r="373">
      <c r="A373" t="inlineStr">
        <is>
          <t>Fuji</t>
        </is>
      </c>
      <c r="B373" t="inlineStr"/>
      <c r="C373" t="inlineStr">
        <is>
          <t>Andreas</t>
        </is>
      </c>
      <c r="D373" t="inlineStr">
        <is>
          <t>AUTOPLAS</t>
        </is>
      </c>
      <c r="E373" t="inlineStr">
        <is>
          <t>AUTOPLASTIK INDONESIA</t>
        </is>
      </c>
      <c r="F373" t="inlineStr"/>
      <c r="G373" t="inlineStr">
        <is>
          <t>7.26.01164</t>
        </is>
      </c>
      <c r="H373" t="inlineStr">
        <is>
          <t>Leads</t>
        </is>
      </c>
      <c r="I373" t="n">
        <v>0</v>
      </c>
      <c r="J373" t="n">
        <v>114</v>
      </c>
      <c r="K373" t="inlineStr">
        <is>
          <t>Reach Truck 1.5 Ton (1 Unit) _ 1 Tahun _ Canvassing awal &amp; Sales Call</t>
        </is>
      </c>
    </row>
    <row r="374">
      <c r="A374" t="inlineStr">
        <is>
          <t>Fuji</t>
        </is>
      </c>
      <c r="B374" t="inlineStr"/>
      <c r="C374" t="inlineStr">
        <is>
          <t>Andreas</t>
        </is>
      </c>
      <c r="D374" t="inlineStr">
        <is>
          <t>CASTROLIND</t>
        </is>
      </c>
      <c r="E374" t="inlineStr">
        <is>
          <t>PT CASTROL INDONESIA</t>
        </is>
      </c>
      <c r="F374" t="inlineStr">
        <is>
          <t>S</t>
        </is>
      </c>
      <c r="G374" t="inlineStr">
        <is>
          <t>7.26.01172</t>
        </is>
      </c>
      <c r="H374" t="inlineStr">
        <is>
          <t>Leads</t>
        </is>
      </c>
      <c r="I374" t="n">
        <v>0</v>
      </c>
      <c r="J374" t="n">
        <v>114</v>
      </c>
      <c r="K374" t="inlineStr">
        <is>
          <t>Reach Truck 1.5 Ton (1 Unit) _ 1 Tahun _ Canvassing awal &amp; Sales Call</t>
        </is>
      </c>
    </row>
    <row r="375">
      <c r="A375" t="inlineStr">
        <is>
          <t>Fuji</t>
        </is>
      </c>
      <c r="B375" t="inlineStr"/>
      <c r="C375" t="inlineStr">
        <is>
          <t>Andreas</t>
        </is>
      </c>
      <c r="D375" t="inlineStr">
        <is>
          <t>CEKA</t>
        </is>
      </c>
      <c r="E375" t="inlineStr">
        <is>
          <t>WILMAR CAHAYA INDONESIA</t>
        </is>
      </c>
      <c r="F375" t="inlineStr"/>
      <c r="G375" t="inlineStr">
        <is>
          <t>7.26.01176</t>
        </is>
      </c>
      <c r="H375" t="inlineStr">
        <is>
          <t>Leads</t>
        </is>
      </c>
      <c r="I375" t="n">
        <v>0</v>
      </c>
      <c r="J375" t="n">
        <v>114</v>
      </c>
      <c r="K375" t="inlineStr">
        <is>
          <t>Reach Truck 1.5 Ton (1 Unit) _ 1 Tahun _ Canvassing awal &amp; Sales Call</t>
        </is>
      </c>
    </row>
    <row r="376">
      <c r="A376" t="inlineStr">
        <is>
          <t>Fuji</t>
        </is>
      </c>
      <c r="B376" t="inlineStr"/>
      <c r="C376" t="inlineStr">
        <is>
          <t>Andreas</t>
        </is>
      </c>
      <c r="D376" t="inlineStr">
        <is>
          <t>CIPTAPS</t>
        </is>
      </c>
      <c r="E376" t="inlineStr">
        <is>
          <t>CIPTA PARAMA SOLUSINDO</t>
        </is>
      </c>
      <c r="F376" t="inlineStr"/>
      <c r="G376" t="inlineStr">
        <is>
          <t>7.26.01181</t>
        </is>
      </c>
      <c r="H376" t="inlineStr">
        <is>
          <t>Leads</t>
        </is>
      </c>
      <c r="I376" t="n">
        <v>0</v>
      </c>
      <c r="J376" t="n">
        <v>114</v>
      </c>
      <c r="K376" t="inlineStr">
        <is>
          <t>Reach Truck 1.5 Ton (1 Unit) _ 1 Tahun _ Canvassing awal &amp; Sales Call</t>
        </is>
      </c>
    </row>
    <row r="377">
      <c r="A377" t="inlineStr">
        <is>
          <t>Fuji</t>
        </is>
      </c>
      <c r="B377" t="inlineStr"/>
      <c r="C377" t="inlineStr">
        <is>
          <t>Andreas</t>
        </is>
      </c>
      <c r="D377" t="inlineStr">
        <is>
          <t>CPPI</t>
        </is>
      </c>
      <c r="E377" t="inlineStr">
        <is>
          <t>CHAMPION PRESICION PARTS INDONESIA</t>
        </is>
      </c>
      <c r="F377" t="inlineStr"/>
      <c r="G377" t="inlineStr">
        <is>
          <t>7.26.01183</t>
        </is>
      </c>
      <c r="H377" t="inlineStr">
        <is>
          <t>Leads</t>
        </is>
      </c>
      <c r="I377" t="n">
        <v>0</v>
      </c>
      <c r="J377" t="n">
        <v>114</v>
      </c>
      <c r="K377" t="inlineStr">
        <is>
          <t>Reach Truck 1.5 Ton (1 Unit) _ 1 Tahun _ Canvassing awal &amp; Sales Call</t>
        </is>
      </c>
    </row>
    <row r="378">
      <c r="A378" t="inlineStr">
        <is>
          <t>Fuji</t>
        </is>
      </c>
      <c r="B378" t="inlineStr"/>
      <c r="C378" t="inlineStr">
        <is>
          <t>Andreas</t>
        </is>
      </c>
      <c r="D378" t="inlineStr">
        <is>
          <t>DAIND</t>
        </is>
      </c>
      <c r="E378" t="inlineStr">
        <is>
          <t>PT DAESANG AGUNG INDONESIA</t>
        </is>
      </c>
      <c r="F378" t="inlineStr">
        <is>
          <t>L</t>
        </is>
      </c>
      <c r="G378" t="inlineStr">
        <is>
          <t>7.26.01185</t>
        </is>
      </c>
      <c r="H378" t="inlineStr">
        <is>
          <t>Leads</t>
        </is>
      </c>
      <c r="I378" t="n">
        <v>0</v>
      </c>
      <c r="J378" t="n">
        <v>114</v>
      </c>
      <c r="K378" t="inlineStr">
        <is>
          <t>Reach Truck 1.5 Ton (1 Unit) _ 1 Tahun _ Canvassing awal &amp; Sales Call</t>
        </is>
      </c>
    </row>
    <row r="379">
      <c r="A379" t="inlineStr">
        <is>
          <t>Fuji</t>
        </is>
      </c>
      <c r="B379" t="inlineStr"/>
      <c r="C379" t="inlineStr">
        <is>
          <t>Andreas</t>
        </is>
      </c>
      <c r="D379" t="inlineStr">
        <is>
          <t>ERICSSON</t>
        </is>
      </c>
      <c r="E379" t="inlineStr">
        <is>
          <t>ERICSSON INDONESIA</t>
        </is>
      </c>
      <c r="F379" t="inlineStr">
        <is>
          <t>S</t>
        </is>
      </c>
      <c r="G379" t="inlineStr">
        <is>
          <t>7.26.01195</t>
        </is>
      </c>
      <c r="H379" t="inlineStr">
        <is>
          <t>Leads</t>
        </is>
      </c>
      <c r="I379" t="n">
        <v>0</v>
      </c>
      <c r="J379" t="n">
        <v>114</v>
      </c>
      <c r="K379" t="inlineStr">
        <is>
          <t>Reach Truck 1.5 Ton (1 Unit) _ 1 Tahun _ Canvassing awal &amp; Sales Call</t>
        </is>
      </c>
    </row>
    <row r="380">
      <c r="A380" t="inlineStr">
        <is>
          <t>Fuji</t>
        </is>
      </c>
      <c r="B380" t="inlineStr"/>
      <c r="C380" t="inlineStr">
        <is>
          <t>Andreas</t>
        </is>
      </c>
      <c r="D380" t="inlineStr">
        <is>
          <t>INDOMETAL</t>
        </is>
      </c>
      <c r="E380" t="inlineStr">
        <is>
          <t>INDOSEIKI METALUTAMA</t>
        </is>
      </c>
      <c r="F380" t="inlineStr">
        <is>
          <t>S</t>
        </is>
      </c>
      <c r="G380" t="inlineStr">
        <is>
          <t>7.26.01205</t>
        </is>
      </c>
      <c r="H380" t="inlineStr">
        <is>
          <t>Leads</t>
        </is>
      </c>
      <c r="I380" t="n">
        <v>0</v>
      </c>
      <c r="J380" t="n">
        <v>114</v>
      </c>
      <c r="K380" t="inlineStr">
        <is>
          <t>Reach Truck 1.5 Ton (1 Unit) _ 1 Tahun _ Canvassing awal &amp; Sales Call</t>
        </is>
      </c>
    </row>
    <row r="381">
      <c r="A381" t="inlineStr">
        <is>
          <t>Fuji</t>
        </is>
      </c>
      <c r="B381" t="inlineStr"/>
      <c r="C381" t="inlineStr">
        <is>
          <t>Andreas</t>
        </is>
      </c>
      <c r="D381" t="inlineStr">
        <is>
          <t>INDOTRUCK</t>
        </is>
      </c>
      <c r="E381" t="inlineStr">
        <is>
          <t>INDOTRUCK UTAMA</t>
        </is>
      </c>
      <c r="F381" t="inlineStr"/>
      <c r="G381" t="inlineStr">
        <is>
          <t>7.26.01208</t>
        </is>
      </c>
      <c r="H381" t="inlineStr">
        <is>
          <t>Leads</t>
        </is>
      </c>
      <c r="I381" t="n">
        <v>0</v>
      </c>
      <c r="J381" t="n">
        <v>114</v>
      </c>
      <c r="K381" t="inlineStr">
        <is>
          <t>Reach Truck 1.5 Ton (1 Unit) _ 1 Tahun _ Canvassing awal &amp; Sales Call</t>
        </is>
      </c>
    </row>
    <row r="382">
      <c r="A382" t="inlineStr">
        <is>
          <t>Fuji</t>
        </is>
      </c>
      <c r="B382" t="inlineStr"/>
      <c r="C382" t="inlineStr">
        <is>
          <t>Andreas</t>
        </is>
      </c>
      <c r="D382" t="inlineStr">
        <is>
          <t>INTAMBYAGA</t>
        </is>
      </c>
      <c r="E382" t="inlineStr">
        <is>
          <t>INDO TAMBANGRAYA MEGAH</t>
        </is>
      </c>
      <c r="F382" t="inlineStr">
        <is>
          <t>S</t>
        </is>
      </c>
      <c r="G382" t="inlineStr">
        <is>
          <t>7.26.01210</t>
        </is>
      </c>
      <c r="H382" t="inlineStr">
        <is>
          <t>Leads</t>
        </is>
      </c>
      <c r="I382" t="n">
        <v>0</v>
      </c>
      <c r="J382" t="n">
        <v>114</v>
      </c>
      <c r="K382" t="inlineStr">
        <is>
          <t>Reach Truck 1.5 Ton (1 Unit) _ 1 Tahun _ Canvassing awal &amp; Sales Call</t>
        </is>
      </c>
    </row>
    <row r="383">
      <c r="A383" t="inlineStr">
        <is>
          <t>Fuji</t>
        </is>
      </c>
      <c r="B383" t="inlineStr"/>
      <c r="C383" t="inlineStr">
        <is>
          <t>Andreas</t>
        </is>
      </c>
      <c r="D383" t="inlineStr">
        <is>
          <t>MAN</t>
        </is>
      </c>
      <c r="E383" t="inlineStr">
        <is>
          <t>MESINDO AGUNG NUSANTARA</t>
        </is>
      </c>
      <c r="F383" t="inlineStr"/>
      <c r="G383" t="inlineStr">
        <is>
          <t>7.26.01219</t>
        </is>
      </c>
      <c r="H383" t="inlineStr">
        <is>
          <t>Leads</t>
        </is>
      </c>
      <c r="I383" t="n">
        <v>0</v>
      </c>
      <c r="J383" t="n">
        <v>114</v>
      </c>
      <c r="K383" t="inlineStr">
        <is>
          <t>Reach Truck 1.5 Ton (1 Unit) _ 1 Tahun _ Canvassing awal &amp; Sales Call</t>
        </is>
      </c>
    </row>
    <row r="384">
      <c r="A384" t="inlineStr">
        <is>
          <t>Fuji</t>
        </is>
      </c>
      <c r="B384" t="inlineStr"/>
      <c r="C384" t="inlineStr">
        <is>
          <t>Andreas</t>
        </is>
      </c>
      <c r="D384" t="inlineStr">
        <is>
          <t>RLMXNUSAMS</t>
        </is>
      </c>
      <c r="E384" t="inlineStr">
        <is>
          <t>ROLIMEX KIMIA NUSAMAS</t>
        </is>
      </c>
      <c r="F384" t="inlineStr">
        <is>
          <t>M</t>
        </is>
      </c>
      <c r="G384" t="inlineStr">
        <is>
          <t>7.26.01257</t>
        </is>
      </c>
      <c r="H384" t="inlineStr">
        <is>
          <t>Leads</t>
        </is>
      </c>
      <c r="I384" t="n">
        <v>0</v>
      </c>
      <c r="J384" t="n">
        <v>114</v>
      </c>
      <c r="K384" t="inlineStr">
        <is>
          <t>Reach Truck 1.5 Ton (1 Unit) _ 1 Tahun _ Canvassing awal &amp; Sales Call</t>
        </is>
      </c>
    </row>
    <row r="385">
      <c r="A385" t="inlineStr">
        <is>
          <t>Fuji</t>
        </is>
      </c>
      <c r="B385" t="inlineStr"/>
      <c r="C385" t="inlineStr">
        <is>
          <t>Andreas</t>
        </is>
      </c>
      <c r="D385" t="inlineStr">
        <is>
          <t>SURYASID</t>
        </is>
      </c>
      <c r="E385" t="inlineStr">
        <is>
          <t>SURYA SEMESTA INTERNUSA</t>
        </is>
      </c>
      <c r="F385" t="inlineStr"/>
      <c r="G385" t="inlineStr">
        <is>
          <t>7.26.01263</t>
        </is>
      </c>
      <c r="H385" t="inlineStr">
        <is>
          <t>Leads</t>
        </is>
      </c>
      <c r="I385" t="n">
        <v>0</v>
      </c>
      <c r="J385" t="n">
        <v>114</v>
      </c>
      <c r="K385" t="inlineStr">
        <is>
          <t>Reach Truck 1.5 Ton (1 Unit) _ 1 Tahun _ Canvassing awal &amp; Sales Call</t>
        </is>
      </c>
    </row>
    <row r="386">
      <c r="A386" t="inlineStr">
        <is>
          <t>Fuji</t>
        </is>
      </c>
      <c r="B386" t="inlineStr"/>
      <c r="C386" t="inlineStr">
        <is>
          <t>Andreas</t>
        </is>
      </c>
      <c r="D386" t="inlineStr">
        <is>
          <t>TEKNOLOGI</t>
        </is>
      </c>
      <c r="E386" t="inlineStr">
        <is>
          <t>TEKNOLOGI KARYA DIGITAL NUSA</t>
        </is>
      </c>
      <c r="F386" t="inlineStr"/>
      <c r="G386" t="inlineStr">
        <is>
          <t>7.26.01264</t>
        </is>
      </c>
      <c r="H386" t="inlineStr">
        <is>
          <t>Leads</t>
        </is>
      </c>
      <c r="I386" t="n">
        <v>0</v>
      </c>
      <c r="J386" t="n">
        <v>114</v>
      </c>
      <c r="K386" t="inlineStr">
        <is>
          <t>Reach Truck 1.5 Ton (1 Unit) _ 1 Tahun _ Canvassing awal &amp; Sales Call</t>
        </is>
      </c>
    </row>
    <row r="387">
      <c r="A387" t="inlineStr">
        <is>
          <t>Fuji</t>
        </is>
      </c>
      <c r="B387" t="inlineStr"/>
      <c r="C387" t="inlineStr">
        <is>
          <t>Andreas</t>
        </is>
      </c>
      <c r="D387" t="inlineStr">
        <is>
          <t>WNR</t>
        </is>
      </c>
      <c r="E387" t="inlineStr">
        <is>
          <t>WAHANA NUSANTARA RUCIKA</t>
        </is>
      </c>
      <c r="F387" t="inlineStr"/>
      <c r="G387" t="inlineStr">
        <is>
          <t>7.26.01268</t>
        </is>
      </c>
      <c r="H387" t="inlineStr">
        <is>
          <t>Leads</t>
        </is>
      </c>
      <c r="I387" t="n">
        <v>0</v>
      </c>
      <c r="J387" t="n">
        <v>114</v>
      </c>
      <c r="K387" t="inlineStr">
        <is>
          <t>Reach Truck 1.5 Ton (1 Unit) _ 1 Tahun _ Canvassing awal &amp; Sales Call</t>
        </is>
      </c>
    </row>
    <row r="388">
      <c r="A388" t="inlineStr">
        <is>
          <t>Fuji</t>
        </is>
      </c>
      <c r="B388" t="inlineStr"/>
      <c r="C388" t="inlineStr">
        <is>
          <t>Andreas</t>
        </is>
      </c>
      <c r="D388" t="inlineStr">
        <is>
          <t>SEKARBUMI</t>
        </is>
      </c>
      <c r="E388" t="inlineStr">
        <is>
          <t>PT SEKAR BUMI TBK</t>
        </is>
      </c>
      <c r="F388" t="inlineStr">
        <is>
          <t>S</t>
        </is>
      </c>
      <c r="G388" t="inlineStr">
        <is>
          <t>7.26.01274</t>
        </is>
      </c>
      <c r="H388" t="inlineStr">
        <is>
          <t>Leads</t>
        </is>
      </c>
      <c r="I388" t="n">
        <v>0</v>
      </c>
      <c r="J388" t="n">
        <v>114</v>
      </c>
      <c r="K388" t="inlineStr">
        <is>
          <t>Reach Truck 1.5 Ton (1 Unit) _ 1 Tahun _ Canvassing awal &amp; Sales Call</t>
        </is>
      </c>
    </row>
    <row r="389">
      <c r="A389" t="inlineStr">
        <is>
          <t>Fuji</t>
        </is>
      </c>
      <c r="B389" t="inlineStr"/>
      <c r="C389" t="inlineStr">
        <is>
          <t>Andreas</t>
        </is>
      </c>
      <c r="D389" t="inlineStr">
        <is>
          <t>SENTULCITY</t>
        </is>
      </c>
      <c r="E389" t="inlineStr">
        <is>
          <t>SENTUL CITY</t>
        </is>
      </c>
      <c r="F389" t="inlineStr"/>
      <c r="G389" t="inlineStr">
        <is>
          <t>7.26.01302</t>
        </is>
      </c>
      <c r="H389" t="inlineStr">
        <is>
          <t>Leads</t>
        </is>
      </c>
      <c r="I389" t="n">
        <v>0</v>
      </c>
      <c r="J389" t="n">
        <v>114</v>
      </c>
      <c r="K389" t="inlineStr">
        <is>
          <t>Reach Truck 1.5 Ton (1 Unit) _ 1 Tahun _ Canvassing awal &amp; Sales Call</t>
        </is>
      </c>
    </row>
    <row r="390">
      <c r="A390" t="inlineStr">
        <is>
          <t>Fuji</t>
        </is>
      </c>
      <c r="B390" t="inlineStr"/>
      <c r="C390" t="inlineStr">
        <is>
          <t>Andreas</t>
        </is>
      </c>
      <c r="D390" t="inlineStr">
        <is>
          <t>TAM</t>
        </is>
      </c>
      <c r="E390" t="inlineStr">
        <is>
          <t>PT TRIMEGAH ASSET MANAGEMENT</t>
        </is>
      </c>
      <c r="F390" t="inlineStr">
        <is>
          <t>L</t>
        </is>
      </c>
      <c r="G390" t="inlineStr">
        <is>
          <t>7.26.01320</t>
        </is>
      </c>
      <c r="H390" t="inlineStr">
        <is>
          <t>Leads</t>
        </is>
      </c>
      <c r="I390" t="n">
        <v>0</v>
      </c>
      <c r="J390" t="n">
        <v>114</v>
      </c>
      <c r="K390" t="inlineStr">
        <is>
          <t>Reach Truck 1.5 Ton (1 Unit) _ 1 Tahun _ Canvassing awal &amp; Sales Call</t>
        </is>
      </c>
    </row>
    <row r="391">
      <c r="A391" t="inlineStr">
        <is>
          <t>Fuji</t>
        </is>
      </c>
      <c r="B391" t="inlineStr"/>
      <c r="C391" t="inlineStr">
        <is>
          <t>Andreas</t>
        </is>
      </c>
      <c r="D391" t="inlineStr">
        <is>
          <t>DAYA</t>
        </is>
      </c>
      <c r="E391" t="inlineStr">
        <is>
          <t>DAYA UTAMA BERSAMA</t>
        </is>
      </c>
      <c r="F391" t="inlineStr">
        <is>
          <t>L</t>
        </is>
      </c>
      <c r="G391" t="inlineStr">
        <is>
          <t>7.26.01334</t>
        </is>
      </c>
      <c r="H391" t="inlineStr">
        <is>
          <t>Leads</t>
        </is>
      </c>
      <c r="I391" t="n">
        <v>0</v>
      </c>
      <c r="J391" t="n">
        <v>114</v>
      </c>
      <c r="K391" t="inlineStr">
        <is>
          <t>Reach Truck 1.5 Ton (1 Unit) _ 1 Tahun _ Canvassing awal &amp; Sales Call</t>
        </is>
      </c>
    </row>
    <row r="392">
      <c r="A392" t="inlineStr">
        <is>
          <t>Fuji</t>
        </is>
      </c>
      <c r="B392" t="inlineStr"/>
      <c r="C392" t="inlineStr">
        <is>
          <t>Andreas</t>
        </is>
      </c>
      <c r="D392" t="inlineStr">
        <is>
          <t>SMPRNAMKS</t>
        </is>
      </c>
      <c r="E392" t="inlineStr">
        <is>
          <t>PT SAMPURNA MAKMUR SEJAHTERA</t>
        </is>
      </c>
      <c r="F392" t="inlineStr">
        <is>
          <t>S</t>
        </is>
      </c>
      <c r="G392" t="inlineStr">
        <is>
          <t>7.26.01351</t>
        </is>
      </c>
      <c r="H392" t="inlineStr">
        <is>
          <t>Leads</t>
        </is>
      </c>
      <c r="I392" t="n">
        <v>0</v>
      </c>
      <c r="J392" t="n">
        <v>114</v>
      </c>
      <c r="K392" t="inlineStr">
        <is>
          <t>Reach Truck 1.5 Ton (1 Unit) _ 1 Tahun _ Canvassing awal &amp; Sales Call</t>
        </is>
      </c>
    </row>
    <row r="393">
      <c r="A393" t="inlineStr">
        <is>
          <t>Fuji</t>
        </is>
      </c>
      <c r="B393" t="inlineStr"/>
      <c r="C393" t="inlineStr">
        <is>
          <t>Andreas</t>
        </is>
      </c>
      <c r="D393" t="inlineStr">
        <is>
          <t>TRANSAMUDR</t>
        </is>
      </c>
      <c r="E393" t="inlineStr">
        <is>
          <t>PT TRANSAMUDRA USAHA SEJAHTERA</t>
        </is>
      </c>
      <c r="F393" t="inlineStr">
        <is>
          <t>S</t>
        </is>
      </c>
      <c r="G393" t="inlineStr">
        <is>
          <t>7.26.01353</t>
        </is>
      </c>
      <c r="H393" t="inlineStr">
        <is>
          <t>Leads</t>
        </is>
      </c>
      <c r="I393" t="n">
        <v>0</v>
      </c>
      <c r="J393" t="n">
        <v>114</v>
      </c>
      <c r="K393" t="inlineStr">
        <is>
          <t>Reach Truck 1.5 Ton (1 Unit) _ 1 Tahun _ Canvassing awal &amp; Sales Call</t>
        </is>
      </c>
    </row>
    <row r="394">
      <c r="A394" t="inlineStr">
        <is>
          <t>Fuji</t>
        </is>
      </c>
      <c r="B394" t="inlineStr"/>
      <c r="C394" t="inlineStr">
        <is>
          <t>Andreas</t>
        </is>
      </c>
      <c r="D394" t="inlineStr">
        <is>
          <t>TUGU</t>
        </is>
      </c>
      <c r="E394" t="inlineStr">
        <is>
          <t>ASURANSI SAMSUNG TUGU</t>
        </is>
      </c>
      <c r="F394" t="inlineStr"/>
      <c r="G394" t="inlineStr">
        <is>
          <t>7.26.01354</t>
        </is>
      </c>
      <c r="H394" t="inlineStr">
        <is>
          <t>Leads</t>
        </is>
      </c>
      <c r="I394" t="n">
        <v>0</v>
      </c>
      <c r="J394" t="n">
        <v>114</v>
      </c>
      <c r="K394" t="inlineStr">
        <is>
          <t>Reach Truck 1.5 Ton (1 Unit) _ 1 Tahun _ Canvassing awal &amp; Sales Call</t>
        </is>
      </c>
    </row>
    <row r="395">
      <c r="A395" t="inlineStr">
        <is>
          <t>Fuji</t>
        </is>
      </c>
      <c r="B395" t="inlineStr"/>
      <c r="C395" t="inlineStr">
        <is>
          <t>Andreas</t>
        </is>
      </c>
      <c r="D395" t="inlineStr">
        <is>
          <t>TANJUNGAJY</t>
        </is>
      </c>
      <c r="E395" t="inlineStr">
        <is>
          <t>TANJUNG ALAM JAYA</t>
        </is>
      </c>
      <c r="F395" t="inlineStr"/>
      <c r="G395" t="inlineStr">
        <is>
          <t>7.26.01384</t>
        </is>
      </c>
      <c r="H395" t="inlineStr">
        <is>
          <t>Leads</t>
        </is>
      </c>
      <c r="I395" t="n">
        <v>0</v>
      </c>
      <c r="J395" t="n">
        <v>114</v>
      </c>
      <c r="K395" t="inlineStr">
        <is>
          <t>Reach Truck 1.5 Ton (1 Unit) _ 1 Tahun _ Canvassing awal &amp; Sales Call</t>
        </is>
      </c>
    </row>
    <row r="396">
      <c r="A396" t="inlineStr">
        <is>
          <t>Fuji</t>
        </is>
      </c>
      <c r="B396" t="inlineStr"/>
      <c r="C396" t="inlineStr">
        <is>
          <t>Andreas</t>
        </is>
      </c>
      <c r="D396" t="inlineStr">
        <is>
          <t>OJI</t>
        </is>
      </c>
      <c r="E396" t="inlineStr">
        <is>
          <t>OJI SINARMAS PACKAGING</t>
        </is>
      </c>
      <c r="F396" t="inlineStr"/>
      <c r="G396" t="inlineStr">
        <is>
          <t>7.26.01394</t>
        </is>
      </c>
      <c r="H396" t="inlineStr">
        <is>
          <t>Leads</t>
        </is>
      </c>
      <c r="I396" t="n">
        <v>0</v>
      </c>
      <c r="J396" t="n">
        <v>114</v>
      </c>
      <c r="K396" t="inlineStr">
        <is>
          <t>Reach Truck 1.5 Ton (1 Unit) _ 1 Tahun _ Canvassing awal &amp; Sales Call</t>
        </is>
      </c>
    </row>
    <row r="397">
      <c r="A397" t="inlineStr">
        <is>
          <t>Fuji</t>
        </is>
      </c>
      <c r="B397" t="inlineStr"/>
      <c r="C397" t="inlineStr">
        <is>
          <t>Andreas</t>
        </is>
      </c>
      <c r="D397" t="inlineStr">
        <is>
          <t>PANPACIFIC</t>
        </is>
      </c>
      <c r="E397" t="inlineStr">
        <is>
          <t>PAN PACIFIC JAKARTA</t>
        </is>
      </c>
      <c r="F397" t="inlineStr"/>
      <c r="G397" t="inlineStr">
        <is>
          <t>7.26.01396</t>
        </is>
      </c>
      <c r="H397" t="inlineStr">
        <is>
          <t>Leads</t>
        </is>
      </c>
      <c r="I397" t="n">
        <v>0</v>
      </c>
      <c r="J397" t="n">
        <v>114</v>
      </c>
      <c r="K397" t="inlineStr">
        <is>
          <t>Reach Truck 1.5 Ton (1 Unit) _ 1 Tahun _ Canvassing awal &amp; Sales Call</t>
        </is>
      </c>
    </row>
    <row r="398">
      <c r="A398" t="inlineStr">
        <is>
          <t>Fuji</t>
        </is>
      </c>
      <c r="B398" t="inlineStr"/>
      <c r="C398" t="inlineStr">
        <is>
          <t>Andreas</t>
        </is>
      </c>
      <c r="D398" t="inlineStr">
        <is>
          <t>SOPRA</t>
        </is>
      </c>
      <c r="E398" t="inlineStr">
        <is>
          <t>SOLUSI PRIMA PACKAGING</t>
        </is>
      </c>
      <c r="F398" t="inlineStr"/>
      <c r="G398" t="inlineStr">
        <is>
          <t>7.26.01402</t>
        </is>
      </c>
      <c r="H398" t="inlineStr">
        <is>
          <t>Leads</t>
        </is>
      </c>
      <c r="I398" t="n">
        <v>0</v>
      </c>
      <c r="J398" t="n">
        <v>114</v>
      </c>
      <c r="K398" t="inlineStr">
        <is>
          <t>Reach Truck 1.5 Ton (1 Unit) _ 1 Tahun _ Canvassing awal &amp; Sales Call</t>
        </is>
      </c>
    </row>
    <row r="399">
      <c r="A399" t="inlineStr">
        <is>
          <t>Fuji</t>
        </is>
      </c>
      <c r="B399" t="inlineStr"/>
      <c r="C399" t="inlineStr">
        <is>
          <t>Andreas</t>
        </is>
      </c>
      <c r="D399" t="inlineStr">
        <is>
          <t>ZORTEA</t>
        </is>
      </c>
      <c r="E399" t="inlineStr">
        <is>
          <t>ZORTEA ASIA PACIFIC</t>
        </is>
      </c>
      <c r="F399" t="inlineStr">
        <is>
          <t>S</t>
        </is>
      </c>
      <c r="G399" t="inlineStr">
        <is>
          <t>7.26.01404</t>
        </is>
      </c>
      <c r="H399" t="inlineStr">
        <is>
          <t>Leads</t>
        </is>
      </c>
      <c r="I399" t="n">
        <v>0</v>
      </c>
      <c r="J399" t="n">
        <v>114</v>
      </c>
      <c r="K399" t="inlineStr">
        <is>
          <t>Reach Truck 1.5 Ton (1 Unit) _ 1 Tahun _ Canvassing awal &amp; Sales Call</t>
        </is>
      </c>
    </row>
    <row r="400">
      <c r="A400" t="inlineStr">
        <is>
          <t>Fuji</t>
        </is>
      </c>
      <c r="B400" t="inlineStr"/>
      <c r="C400" t="inlineStr">
        <is>
          <t>Andreas</t>
        </is>
      </c>
      <c r="D400" t="inlineStr">
        <is>
          <t>BME</t>
        </is>
      </c>
      <c r="E400" t="inlineStr">
        <is>
          <t>BERKAT MANUNGGAL ENERGI</t>
        </is>
      </c>
      <c r="F400" t="inlineStr"/>
      <c r="G400" t="inlineStr">
        <is>
          <t>7.26.01415</t>
        </is>
      </c>
      <c r="H400" t="inlineStr">
        <is>
          <t>Leads</t>
        </is>
      </c>
      <c r="I400" t="n">
        <v>0</v>
      </c>
      <c r="J400" t="n">
        <v>114</v>
      </c>
      <c r="K400" t="inlineStr">
        <is>
          <t>Reach Truck 1.5 Ton (1 Unit) _ 1 Tahun _ Canvassing awal &amp; Sales Call</t>
        </is>
      </c>
    </row>
    <row r="401">
      <c r="A401" t="inlineStr">
        <is>
          <t>Fuji</t>
        </is>
      </c>
      <c r="B401" t="inlineStr"/>
      <c r="C401" t="inlineStr">
        <is>
          <t>Andreas</t>
        </is>
      </c>
      <c r="D401" t="inlineStr">
        <is>
          <t>TIMAHAGRMN</t>
        </is>
      </c>
      <c r="E401" t="inlineStr">
        <is>
          <t>TIMAH AGRO MANUNGGAL</t>
        </is>
      </c>
      <c r="F401" t="inlineStr"/>
      <c r="G401" t="inlineStr">
        <is>
          <t>7.26.01424</t>
        </is>
      </c>
      <c r="H401" t="inlineStr">
        <is>
          <t>Leads</t>
        </is>
      </c>
      <c r="I401" t="n">
        <v>0</v>
      </c>
      <c r="J401" t="n">
        <v>114</v>
      </c>
      <c r="K401" t="inlineStr">
        <is>
          <t>Reach Truck 1.5 Ton (1 Unit) _ 1 Tahun _ Canvassing awal &amp; Sales Call</t>
        </is>
      </c>
    </row>
    <row r="402">
      <c r="A402" t="inlineStr">
        <is>
          <t>Fuji</t>
        </is>
      </c>
      <c r="B402" t="inlineStr"/>
      <c r="C402" t="inlineStr">
        <is>
          <t>Andreas</t>
        </is>
      </c>
      <c r="D402" t="inlineStr">
        <is>
          <t>MPPU</t>
        </is>
      </c>
      <c r="E402" t="inlineStr">
        <is>
          <t>PT MACRO PRIMA PANGAN UTAMA</t>
        </is>
      </c>
      <c r="F402" t="inlineStr">
        <is>
          <t>S</t>
        </is>
      </c>
      <c r="G402" t="inlineStr">
        <is>
          <t>7.26.01442</t>
        </is>
      </c>
      <c r="H402" t="inlineStr">
        <is>
          <t>Leads</t>
        </is>
      </c>
      <c r="I402" t="n">
        <v>0</v>
      </c>
      <c r="J402" t="n">
        <v>114</v>
      </c>
      <c r="K402" t="inlineStr">
        <is>
          <t>Reach Truck 1.5 Ton (1 Unit) _ 1 Tahun _ Canvassing awal &amp; Sales Call</t>
        </is>
      </c>
    </row>
    <row r="403">
      <c r="A403" t="inlineStr">
        <is>
          <t>Fuji</t>
        </is>
      </c>
      <c r="B403" t="inlineStr"/>
      <c r="C403" t="inlineStr">
        <is>
          <t>Andreas</t>
        </is>
      </c>
      <c r="D403" t="inlineStr">
        <is>
          <t>RPL</t>
        </is>
      </c>
      <c r="E403" t="inlineStr">
        <is>
          <t>RODA PRIMA LANCAR</t>
        </is>
      </c>
      <c r="F403" t="inlineStr">
        <is>
          <t>S</t>
        </is>
      </c>
      <c r="G403" t="inlineStr">
        <is>
          <t>7.26.01453</t>
        </is>
      </c>
      <c r="H403" t="inlineStr">
        <is>
          <t>Leads</t>
        </is>
      </c>
      <c r="I403" t="n">
        <v>0</v>
      </c>
      <c r="J403" t="n">
        <v>114</v>
      </c>
      <c r="K403" t="inlineStr">
        <is>
          <t>Reach Truck 1.5 Ton (1 Unit) _ 1 Tahun _ Canvassing awal &amp; Sales Call</t>
        </is>
      </c>
    </row>
    <row r="404">
      <c r="A404" t="inlineStr">
        <is>
          <t>Fuji</t>
        </is>
      </c>
      <c r="B404" t="inlineStr"/>
      <c r="C404" t="inlineStr">
        <is>
          <t>Andreas</t>
        </is>
      </c>
      <c r="D404" t="inlineStr">
        <is>
          <t>SMTRAFIBER</t>
        </is>
      </c>
      <c r="E404" t="inlineStr">
        <is>
          <t>PT SUMATERA PRIMA FIBREBOARD</t>
        </is>
      </c>
      <c r="F404" t="inlineStr">
        <is>
          <t>L</t>
        </is>
      </c>
      <c r="G404" t="inlineStr">
        <is>
          <t>7.26.01469</t>
        </is>
      </c>
      <c r="H404" t="inlineStr">
        <is>
          <t>Prospect</t>
        </is>
      </c>
      <c r="I404" t="n">
        <v>64</v>
      </c>
      <c r="J404" t="n">
        <v>244</v>
      </c>
      <c r="K404" t="inlineStr">
        <is>
          <t>Forklift 3 Ton (2 Unit) _ 2 Tahun _ SPH Dikirim ke User</t>
        </is>
      </c>
    </row>
    <row r="405">
      <c r="A405" t="inlineStr">
        <is>
          <t>Fuji</t>
        </is>
      </c>
      <c r="B405" t="inlineStr"/>
      <c r="C405" t="inlineStr">
        <is>
          <t>Andreas</t>
        </is>
      </c>
      <c r="D405" t="inlineStr">
        <is>
          <t>SEAINSURE</t>
        </is>
      </c>
      <c r="E405" t="inlineStr">
        <is>
          <t>PT ASURANSI JIWA SEAINSURE TBK</t>
        </is>
      </c>
      <c r="F405" t="inlineStr">
        <is>
          <t>S</t>
        </is>
      </c>
      <c r="G405" t="inlineStr">
        <is>
          <t>7.26.01509</t>
        </is>
      </c>
      <c r="H405" t="inlineStr">
        <is>
          <t>Leads</t>
        </is>
      </c>
      <c r="I405" t="n">
        <v>0</v>
      </c>
      <c r="J405" t="n">
        <v>114</v>
      </c>
      <c r="K405" t="inlineStr">
        <is>
          <t>Reach Truck 1.5 Ton (1 Unit) _ 1 Tahun _ Canvassing awal &amp; Sales Call</t>
        </is>
      </c>
    </row>
    <row r="406">
      <c r="A406" t="inlineStr">
        <is>
          <t>Fuji</t>
        </is>
      </c>
      <c r="B406" t="inlineStr"/>
      <c r="C406" t="inlineStr">
        <is>
          <t>Andreas</t>
        </is>
      </c>
      <c r="D406" t="inlineStr">
        <is>
          <t>PDSP</t>
        </is>
      </c>
      <c r="E406" t="inlineStr">
        <is>
          <t>PADMA SARI PANGAN</t>
        </is>
      </c>
      <c r="F406" t="inlineStr"/>
      <c r="G406" t="inlineStr">
        <is>
          <t>7.26.01515</t>
        </is>
      </c>
      <c r="H406" t="inlineStr">
        <is>
          <t>Leads</t>
        </is>
      </c>
      <c r="I406" t="n">
        <v>0</v>
      </c>
      <c r="J406" t="n">
        <v>114</v>
      </c>
      <c r="K406" t="inlineStr">
        <is>
          <t>Reach Truck 1.5 Ton (1 Unit) _ 1 Tahun _ Canvassing awal &amp; Sales Call</t>
        </is>
      </c>
    </row>
    <row r="407">
      <c r="A407" t="inlineStr">
        <is>
          <t>Fuji</t>
        </is>
      </c>
      <c r="B407" t="inlineStr"/>
      <c r="C407" t="inlineStr">
        <is>
          <t>Andreas</t>
        </is>
      </c>
      <c r="D407" t="inlineStr">
        <is>
          <t>SANQUA</t>
        </is>
      </c>
      <c r="E407" t="inlineStr">
        <is>
          <t>WAHANA INTI MAS</t>
        </is>
      </c>
      <c r="F407" t="inlineStr"/>
      <c r="G407" t="inlineStr">
        <is>
          <t>7.26.01550</t>
        </is>
      </c>
      <c r="H407" t="inlineStr">
        <is>
          <t>Leads</t>
        </is>
      </c>
      <c r="I407" t="n">
        <v>0</v>
      </c>
      <c r="J407" t="n">
        <v>114</v>
      </c>
      <c r="K407" t="inlineStr">
        <is>
          <t>Reach Truck 1.5 Ton (1 Unit) _ 1 Tahun _ Canvassing awal &amp; Sales Call</t>
        </is>
      </c>
    </row>
    <row r="408">
      <c r="A408" t="inlineStr">
        <is>
          <t>Fuji</t>
        </is>
      </c>
      <c r="B408" t="inlineStr"/>
      <c r="C408" t="inlineStr">
        <is>
          <t>Andreas</t>
        </is>
      </c>
      <c r="D408" t="inlineStr">
        <is>
          <t>TERRYP</t>
        </is>
      </c>
      <c r="E408" t="inlineStr">
        <is>
          <t>TERRY PALMER LAUNDRY</t>
        </is>
      </c>
      <c r="F408" t="inlineStr"/>
      <c r="G408" t="inlineStr">
        <is>
          <t>7.26.01585</t>
        </is>
      </c>
      <c r="H408" t="inlineStr">
        <is>
          <t>Leads</t>
        </is>
      </c>
      <c r="I408" t="n">
        <v>0</v>
      </c>
      <c r="J408" t="n">
        <v>114</v>
      </c>
      <c r="K408" t="inlineStr">
        <is>
          <t>Reach Truck 1.5 Ton (1 Unit) _ 1 Tahun _ Canvassing awal &amp; Sales Call</t>
        </is>
      </c>
    </row>
    <row r="409">
      <c r="A409" t="inlineStr">
        <is>
          <t>Fuji</t>
        </is>
      </c>
      <c r="B409" t="inlineStr"/>
      <c r="C409" t="inlineStr">
        <is>
          <t>Andreas</t>
        </is>
      </c>
      <c r="D409" t="inlineStr">
        <is>
          <t>CLARIANTKU</t>
        </is>
      </c>
      <c r="E409" t="inlineStr">
        <is>
          <t>CLARIANT KUJANG CATALYSTS</t>
        </is>
      </c>
      <c r="F409" t="inlineStr">
        <is>
          <t>S</t>
        </is>
      </c>
      <c r="G409" t="inlineStr">
        <is>
          <t>7.26.01593</t>
        </is>
      </c>
      <c r="H409" t="inlineStr">
        <is>
          <t>Leads</t>
        </is>
      </c>
      <c r="I409" t="n">
        <v>0</v>
      </c>
      <c r="J409" t="n">
        <v>114</v>
      </c>
      <c r="K409" t="inlineStr">
        <is>
          <t>Reach Truck 1.5 Ton (1 Unit) _ 1 Tahun _ Canvassing awal &amp; Sales Call</t>
        </is>
      </c>
    </row>
    <row r="410">
      <c r="A410" t="inlineStr">
        <is>
          <t>Fuji</t>
        </is>
      </c>
      <c r="B410" t="inlineStr"/>
      <c r="C410" t="inlineStr">
        <is>
          <t>Andreas</t>
        </is>
      </c>
      <c r="D410" t="inlineStr">
        <is>
          <t>TEF</t>
        </is>
      </c>
      <c r="E410" t="inlineStr">
        <is>
          <t>TOKKI ENGINEERING AND FABRICATION</t>
        </is>
      </c>
      <c r="F410" t="inlineStr"/>
      <c r="G410" t="inlineStr">
        <is>
          <t>7.26.01594</t>
        </is>
      </c>
      <c r="H410" t="inlineStr">
        <is>
          <t>Leads</t>
        </is>
      </c>
      <c r="I410" t="n">
        <v>0</v>
      </c>
      <c r="J410" t="n">
        <v>114</v>
      </c>
      <c r="K410" t="inlineStr">
        <is>
          <t>Reach Truck 1.5 Ton (1 Unit) _ 1 Tahun _ Canvassing awal &amp; Sales Call</t>
        </is>
      </c>
    </row>
    <row r="411">
      <c r="A411" t="inlineStr">
        <is>
          <t>Fuji</t>
        </is>
      </c>
      <c r="B411" t="inlineStr"/>
      <c r="C411" t="inlineStr">
        <is>
          <t>Andreas</t>
        </is>
      </c>
      <c r="D411" t="inlineStr">
        <is>
          <t>MEDIFARMA</t>
        </is>
      </c>
      <c r="E411" t="inlineStr">
        <is>
          <t>MEDIFARMA LABORATORIES</t>
        </is>
      </c>
      <c r="F411" t="inlineStr"/>
      <c r="G411" t="inlineStr">
        <is>
          <t>7.26.01634</t>
        </is>
      </c>
      <c r="H411" t="inlineStr">
        <is>
          <t>Leads</t>
        </is>
      </c>
      <c r="I411" t="n">
        <v>0</v>
      </c>
      <c r="J411" t="n">
        <v>114</v>
      </c>
      <c r="K411" t="inlineStr">
        <is>
          <t>Reach Truck 1.5 Ton (1 Unit) _ 1 Tahun _ Canvassing awal &amp; Sales Call</t>
        </is>
      </c>
    </row>
    <row r="412">
      <c r="A412" t="inlineStr">
        <is>
          <t>Fuji</t>
        </is>
      </c>
      <c r="B412" t="inlineStr"/>
      <c r="C412" t="inlineStr">
        <is>
          <t>Andreas</t>
        </is>
      </c>
      <c r="D412" t="inlineStr">
        <is>
          <t>UNITEDAAR</t>
        </is>
      </c>
      <c r="E412" t="inlineStr">
        <is>
          <t>UNITEDA ARKATO</t>
        </is>
      </c>
      <c r="F412" t="inlineStr"/>
      <c r="G412" t="inlineStr">
        <is>
          <t>7.26.01642</t>
        </is>
      </c>
      <c r="H412" t="inlineStr">
        <is>
          <t>Leads</t>
        </is>
      </c>
      <c r="I412" t="n">
        <v>0</v>
      </c>
      <c r="J412" t="n">
        <v>114</v>
      </c>
      <c r="K412" t="inlineStr">
        <is>
          <t>Reach Truck 1.5 Ton (1 Unit) _ 1 Tahun _ Canvassing awal &amp; Sales Call</t>
        </is>
      </c>
    </row>
    <row r="413">
      <c r="A413" t="inlineStr">
        <is>
          <t>Fuji</t>
        </is>
      </c>
      <c r="B413" t="inlineStr"/>
      <c r="C413" t="inlineStr">
        <is>
          <t>Andreas</t>
        </is>
      </c>
      <c r="D413" t="inlineStr">
        <is>
          <t>BERKAHA</t>
        </is>
      </c>
      <c r="E413" t="inlineStr">
        <is>
          <t>BERKAH AUTO RAYA</t>
        </is>
      </c>
      <c r="F413" t="inlineStr"/>
      <c r="G413" t="inlineStr">
        <is>
          <t>7.26.01668</t>
        </is>
      </c>
      <c r="H413" t="inlineStr">
        <is>
          <t>Leads</t>
        </is>
      </c>
      <c r="I413" t="n">
        <v>0</v>
      </c>
      <c r="J413" t="n">
        <v>114</v>
      </c>
      <c r="K413" t="inlineStr">
        <is>
          <t>Reach Truck 1.5 Ton (1 Unit) _ 1 Tahun _ Canvassing awal &amp; Sales Call</t>
        </is>
      </c>
    </row>
    <row r="414">
      <c r="A414" t="inlineStr">
        <is>
          <t>Fuji</t>
        </is>
      </c>
      <c r="B414" t="inlineStr"/>
      <c r="C414" t="inlineStr">
        <is>
          <t>Andreas</t>
        </is>
      </c>
      <c r="D414" t="inlineStr">
        <is>
          <t>BERNOFARM</t>
        </is>
      </c>
      <c r="E414" t="inlineStr">
        <is>
          <t>BERNOFARM</t>
        </is>
      </c>
      <c r="F414" t="inlineStr"/>
      <c r="G414" t="inlineStr">
        <is>
          <t>7.26.01669</t>
        </is>
      </c>
      <c r="H414" t="inlineStr">
        <is>
          <t>Leads</t>
        </is>
      </c>
      <c r="I414" t="n">
        <v>0</v>
      </c>
      <c r="J414" t="n">
        <v>114</v>
      </c>
      <c r="K414" t="inlineStr">
        <is>
          <t>Reach Truck 1.5 Ton (1 Unit) _ 1 Tahun _ Canvassing awal &amp; Sales Call</t>
        </is>
      </c>
    </row>
    <row r="415">
      <c r="A415" t="inlineStr">
        <is>
          <t>Fuji</t>
        </is>
      </c>
      <c r="B415" t="inlineStr"/>
      <c r="C415" t="inlineStr">
        <is>
          <t>Andreas</t>
        </is>
      </c>
      <c r="D415" t="inlineStr">
        <is>
          <t>TALASI</t>
        </is>
      </c>
      <c r="E415" t="inlineStr">
        <is>
          <t>TALASI TRU ORIGIN</t>
        </is>
      </c>
      <c r="F415" t="inlineStr">
        <is>
          <t>S</t>
        </is>
      </c>
      <c r="G415" t="inlineStr">
        <is>
          <t>7.26.01682</t>
        </is>
      </c>
      <c r="H415" t="inlineStr">
        <is>
          <t>Leads</t>
        </is>
      </c>
      <c r="I415" t="n">
        <v>0</v>
      </c>
      <c r="J415" t="n">
        <v>114</v>
      </c>
      <c r="K415" t="inlineStr">
        <is>
          <t>Reach Truck 1.5 Ton (1 Unit) _ 1 Tahun _ Canvassing awal &amp; Sales Call</t>
        </is>
      </c>
    </row>
    <row r="416">
      <c r="A416" t="inlineStr">
        <is>
          <t>Fuji</t>
        </is>
      </c>
      <c r="B416" t="inlineStr"/>
      <c r="C416" t="inlineStr">
        <is>
          <t>Andreas</t>
        </is>
      </c>
      <c r="D416" t="inlineStr">
        <is>
          <t>DBC</t>
        </is>
      </c>
      <c r="E416" t="inlineStr">
        <is>
          <t>DJABESMEN</t>
        </is>
      </c>
      <c r="F416" t="inlineStr"/>
      <c r="G416" t="inlineStr">
        <is>
          <t>7.26.01696</t>
        </is>
      </c>
      <c r="H416" t="inlineStr">
        <is>
          <t>Leads</t>
        </is>
      </c>
      <c r="I416" t="n">
        <v>0</v>
      </c>
      <c r="J416" t="n">
        <v>114</v>
      </c>
      <c r="K416" t="inlineStr">
        <is>
          <t>Reach Truck 1.5 Ton (1 Unit) _ 1 Tahun _ Canvassing awal &amp; Sales Call</t>
        </is>
      </c>
    </row>
    <row r="417">
      <c r="A417" t="inlineStr">
        <is>
          <t>Fuji</t>
        </is>
      </c>
      <c r="B417" t="inlineStr"/>
      <c r="C417" t="inlineStr">
        <is>
          <t>Andreas</t>
        </is>
      </c>
      <c r="D417" t="inlineStr">
        <is>
          <t>KUBOTAINDO</t>
        </is>
      </c>
      <c r="E417" t="inlineStr">
        <is>
          <t>KUBOTA INDONESIA</t>
        </is>
      </c>
      <c r="F417" t="inlineStr">
        <is>
          <t>S</t>
        </is>
      </c>
      <c r="G417" t="inlineStr">
        <is>
          <t>7.26.01743</t>
        </is>
      </c>
      <c r="H417" t="inlineStr">
        <is>
          <t>Leads</t>
        </is>
      </c>
      <c r="I417" t="n">
        <v>0</v>
      </c>
      <c r="J417" t="n">
        <v>115</v>
      </c>
      <c r="K417" t="inlineStr">
        <is>
          <t>Reach Truck 1.5 Ton (1 Unit) _ 1 Tahun _ Canvassing awal &amp; Sales Call</t>
        </is>
      </c>
    </row>
    <row r="418">
      <c r="A418" t="inlineStr">
        <is>
          <t>Fuji</t>
        </is>
      </c>
      <c r="B418" t="inlineStr"/>
      <c r="C418" t="inlineStr">
        <is>
          <t>Andreas</t>
        </is>
      </c>
      <c r="D418" t="inlineStr">
        <is>
          <t>JPAIR</t>
        </is>
      </c>
      <c r="E418" t="inlineStr">
        <is>
          <t>JAPAN AIRLINES</t>
        </is>
      </c>
      <c r="F418" t="inlineStr">
        <is>
          <t>S</t>
        </is>
      </c>
      <c r="G418" t="inlineStr">
        <is>
          <t>7.26.01801</t>
        </is>
      </c>
      <c r="H418" t="inlineStr">
        <is>
          <t>Leads</t>
        </is>
      </c>
      <c r="I418" t="n">
        <v>0</v>
      </c>
      <c r="J418" t="n">
        <v>119</v>
      </c>
      <c r="K418" t="inlineStr">
        <is>
          <t>Reach Truck 1.5 Ton (1 Unit) _ 1 Tahun _ Canvassing awal &amp; Sales Call</t>
        </is>
      </c>
    </row>
    <row r="419">
      <c r="A419" t="inlineStr">
        <is>
          <t>Fuji</t>
        </is>
      </c>
      <c r="B419" t="inlineStr"/>
      <c r="C419" t="inlineStr">
        <is>
          <t>Andreas</t>
        </is>
      </c>
      <c r="D419" t="inlineStr">
        <is>
          <t>SWA</t>
        </is>
      </c>
      <c r="E419" t="inlineStr">
        <is>
          <t>PT SRIWIJAYA AIR</t>
        </is>
      </c>
      <c r="F419" t="inlineStr">
        <is>
          <t>L</t>
        </is>
      </c>
      <c r="G419" t="inlineStr">
        <is>
          <t>7.26.01810</t>
        </is>
      </c>
      <c r="H419" t="inlineStr">
        <is>
          <t>Leads</t>
        </is>
      </c>
      <c r="I419" t="n">
        <v>0</v>
      </c>
      <c r="J419" t="n">
        <v>119</v>
      </c>
      <c r="K419" t="inlineStr">
        <is>
          <t>Reach Truck 1.5 Ton (1 Unit) _ 1 Tahun _ Canvassing awal &amp; Sales Call</t>
        </is>
      </c>
    </row>
    <row r="420">
      <c r="A420" t="inlineStr">
        <is>
          <t>Fuji</t>
        </is>
      </c>
      <c r="B420" t="inlineStr"/>
      <c r="C420" t="inlineStr">
        <is>
          <t>Andreas</t>
        </is>
      </c>
      <c r="D420" t="inlineStr">
        <is>
          <t>GGM</t>
        </is>
      </c>
      <c r="E420" t="inlineStr">
        <is>
          <t>PT GOLDEN GRAND MILLS</t>
        </is>
      </c>
      <c r="F420" t="inlineStr">
        <is>
          <t>L</t>
        </is>
      </c>
      <c r="G420" t="inlineStr">
        <is>
          <t>7.26.01815</t>
        </is>
      </c>
      <c r="H420" t="inlineStr">
        <is>
          <t>Prospect</t>
        </is>
      </c>
      <c r="I420" t="n">
        <v>29</v>
      </c>
      <c r="J420" t="n">
        <v>209</v>
      </c>
      <c r="K420" t="inlineStr">
        <is>
          <t>Forklift 3 Ton (2 Unit) _ 2 Tahun _ SPH Dikirim ke User</t>
        </is>
      </c>
    </row>
    <row r="421">
      <c r="A421" t="inlineStr">
        <is>
          <t>Fuji</t>
        </is>
      </c>
      <c r="B421" t="inlineStr"/>
      <c r="C421" t="inlineStr">
        <is>
          <t>Andreas</t>
        </is>
      </c>
      <c r="D421" t="inlineStr">
        <is>
          <t>MITSUBISHI</t>
        </is>
      </c>
      <c r="E421" t="inlineStr">
        <is>
          <t>PT MITSUBISHI POWER INDONESIA</t>
        </is>
      </c>
      <c r="F421" t="inlineStr">
        <is>
          <t>L</t>
        </is>
      </c>
      <c r="G421" t="inlineStr">
        <is>
          <t>7.26.01822</t>
        </is>
      </c>
      <c r="H421" t="inlineStr">
        <is>
          <t>Prospect</t>
        </is>
      </c>
      <c r="I421" t="n">
        <v>74</v>
      </c>
      <c r="J421" t="n">
        <v>254</v>
      </c>
      <c r="K421" t="inlineStr">
        <is>
          <t>Forklift 3 Ton (2 Unit) _ 2 Tahun _ SPH Dikirim ke User</t>
        </is>
      </c>
    </row>
    <row r="422">
      <c r="A422" t="inlineStr">
        <is>
          <t>Fuji</t>
        </is>
      </c>
      <c r="B422" t="inlineStr"/>
      <c r="C422" t="inlineStr">
        <is>
          <t>Andreas</t>
        </is>
      </c>
      <c r="D422" t="inlineStr">
        <is>
          <t>KASSAS</t>
        </is>
      </c>
      <c r="E422" t="inlineStr">
        <is>
          <t>PT KERTA ANGGUR SEJAHTERA</t>
        </is>
      </c>
      <c r="F422" t="inlineStr">
        <is>
          <t>L</t>
        </is>
      </c>
      <c r="G422" t="inlineStr">
        <is>
          <t>7.26.01824</t>
        </is>
      </c>
      <c r="H422" t="inlineStr">
        <is>
          <t>Prospect</t>
        </is>
      </c>
      <c r="I422" t="n">
        <v>81</v>
      </c>
      <c r="J422" t="n">
        <v>261</v>
      </c>
      <c r="K422" t="inlineStr">
        <is>
          <t>Forklift 3 Ton (2 Unit) _ 2 Tahun _ SPH Dikirim ke User</t>
        </is>
      </c>
    </row>
    <row r="423">
      <c r="A423" t="inlineStr">
        <is>
          <t>Fuji</t>
        </is>
      </c>
      <c r="B423" t="inlineStr"/>
      <c r="C423" t="inlineStr">
        <is>
          <t>Andreas</t>
        </is>
      </c>
      <c r="D423" t="inlineStr">
        <is>
          <t>ZORTEA</t>
        </is>
      </c>
      <c r="E423" t="inlineStr">
        <is>
          <t>ZORTEA ASIA PACIFIC</t>
        </is>
      </c>
      <c r="F423" t="inlineStr">
        <is>
          <t>S</t>
        </is>
      </c>
      <c r="G423" t="inlineStr">
        <is>
          <t>7.26.01829</t>
        </is>
      </c>
      <c r="H423" t="inlineStr">
        <is>
          <t>Leads</t>
        </is>
      </c>
      <c r="I423" t="n">
        <v>0</v>
      </c>
      <c r="J423" t="n">
        <v>180</v>
      </c>
      <c r="K423" t="inlineStr">
        <is>
          <t>Reach Truck 1.5 Ton (1 Unit) _ 1 Tahun _ Canvassing awal &amp; Sales Call</t>
        </is>
      </c>
    </row>
    <row r="424">
      <c r="A424" t="inlineStr">
        <is>
          <t>Fuji</t>
        </is>
      </c>
      <c r="B424" t="inlineStr"/>
      <c r="C424" t="inlineStr">
        <is>
          <t>Andreas</t>
        </is>
      </c>
      <c r="D424" t="inlineStr">
        <is>
          <t>ENNEOS</t>
        </is>
      </c>
      <c r="E424" t="inlineStr">
        <is>
          <t>PT NIPPON OIL INDONESIA</t>
        </is>
      </c>
      <c r="F424" t="inlineStr">
        <is>
          <t>M</t>
        </is>
      </c>
      <c r="G424" t="inlineStr">
        <is>
          <t>7.26.01837</t>
        </is>
      </c>
      <c r="H424" t="inlineStr">
        <is>
          <t>Leads</t>
        </is>
      </c>
      <c r="I424" t="n">
        <v>0</v>
      </c>
      <c r="J424" t="n">
        <v>141</v>
      </c>
      <c r="K424" t="inlineStr">
        <is>
          <t>Reach Truck 1.5 Ton (1 Unit) _ 1 Tahun _ Canvassing awal &amp; Sales Call</t>
        </is>
      </c>
    </row>
    <row r="425">
      <c r="A425" t="inlineStr">
        <is>
          <t>Fuji</t>
        </is>
      </c>
      <c r="B425" t="inlineStr"/>
      <c r="C425" t="inlineStr">
        <is>
          <t>Andreas</t>
        </is>
      </c>
      <c r="D425" t="inlineStr">
        <is>
          <t>JOHNSON</t>
        </is>
      </c>
      <c r="E425" t="inlineStr">
        <is>
          <t>JOHNSON &amp; JOHNSON INDONESIA</t>
        </is>
      </c>
      <c r="F425" t="inlineStr">
        <is>
          <t>S</t>
        </is>
      </c>
      <c r="G425" t="inlineStr">
        <is>
          <t>7.26.01838</t>
        </is>
      </c>
      <c r="H425" t="inlineStr">
        <is>
          <t>Leads</t>
        </is>
      </c>
      <c r="I425" t="n">
        <v>0</v>
      </c>
      <c r="J425" t="n">
        <v>141</v>
      </c>
      <c r="K425" t="inlineStr">
        <is>
          <t>Reach Truck 1.5 Ton (1 Unit) _ 1 Tahun _ Canvassing awal &amp; Sales Call</t>
        </is>
      </c>
    </row>
    <row r="426">
      <c r="A426" t="inlineStr">
        <is>
          <t>Fuji</t>
        </is>
      </c>
      <c r="B426" t="inlineStr"/>
      <c r="C426" t="inlineStr">
        <is>
          <t>Andreas</t>
        </is>
      </c>
      <c r="D426" t="inlineStr">
        <is>
          <t>INOACPOLYT</t>
        </is>
      </c>
      <c r="E426" t="inlineStr">
        <is>
          <t>INOAC POLYTECHNO INDONESIA</t>
        </is>
      </c>
      <c r="F426" t="inlineStr">
        <is>
          <t>S</t>
        </is>
      </c>
      <c r="G426" t="inlineStr">
        <is>
          <t>7.26.01839</t>
        </is>
      </c>
      <c r="H426" t="inlineStr">
        <is>
          <t>Leads</t>
        </is>
      </c>
      <c r="I426" t="n">
        <v>0</v>
      </c>
      <c r="J426" t="n">
        <v>141</v>
      </c>
      <c r="K426" t="inlineStr">
        <is>
          <t>Reach Truck 1.5 Ton (1 Unit) _ 1 Tahun _ Canvassing awal &amp; Sales Call</t>
        </is>
      </c>
    </row>
    <row r="427">
      <c r="A427" t="inlineStr">
        <is>
          <t>Fuji</t>
        </is>
      </c>
      <c r="B427" t="inlineStr"/>
      <c r="C427" t="inlineStr">
        <is>
          <t>Andreas</t>
        </is>
      </c>
      <c r="D427" t="inlineStr">
        <is>
          <t>HUTCHISON</t>
        </is>
      </c>
      <c r="E427" t="inlineStr">
        <is>
          <t>HUTCHISON PORTS INDONESIA</t>
        </is>
      </c>
      <c r="F427" t="inlineStr">
        <is>
          <t>S</t>
        </is>
      </c>
      <c r="G427" t="inlineStr">
        <is>
          <t>7.26.01840</t>
        </is>
      </c>
      <c r="H427" t="inlineStr">
        <is>
          <t>Leads</t>
        </is>
      </c>
      <c r="I427" t="n">
        <v>0</v>
      </c>
      <c r="J427" t="n">
        <v>142</v>
      </c>
      <c r="K427" t="inlineStr">
        <is>
          <t>Reach Truck 1.5 Ton (1 Unit) _ 1 Tahun _ Canvassing awal &amp; Sales Call</t>
        </is>
      </c>
    </row>
    <row r="428">
      <c r="A428" t="inlineStr">
        <is>
          <t>Fuji</t>
        </is>
      </c>
      <c r="B428" t="inlineStr"/>
      <c r="C428" t="inlineStr">
        <is>
          <t>Andreas</t>
        </is>
      </c>
      <c r="D428" t="inlineStr">
        <is>
          <t>MEI</t>
        </is>
      </c>
      <c r="E428" t="inlineStr">
        <is>
          <t>MITSUBISHI ELECTRIC INDONESIA</t>
        </is>
      </c>
      <c r="F428" t="inlineStr">
        <is>
          <t>S</t>
        </is>
      </c>
      <c r="G428" t="inlineStr">
        <is>
          <t>7.26.01841</t>
        </is>
      </c>
      <c r="H428" t="inlineStr">
        <is>
          <t>Leads</t>
        </is>
      </c>
      <c r="I428" t="n">
        <v>0</v>
      </c>
      <c r="J428" t="n">
        <v>142</v>
      </c>
      <c r="K428" t="inlineStr">
        <is>
          <t>Reach Truck 1.5 Ton (1 Unit) _ 1 Tahun _ Canvassing awal &amp; Sales Call</t>
        </is>
      </c>
    </row>
    <row r="429">
      <c r="A429" t="inlineStr">
        <is>
          <t>Fuji</t>
        </is>
      </c>
      <c r="B429" t="inlineStr"/>
      <c r="C429" t="inlineStr">
        <is>
          <t>Andreas</t>
        </is>
      </c>
      <c r="D429" t="inlineStr">
        <is>
          <t>PUSAKAPAN</t>
        </is>
      </c>
      <c r="E429" t="inlineStr">
        <is>
          <t>PT PUSAKA ARTHA TAMA</t>
        </is>
      </c>
      <c r="F429" t="inlineStr">
        <is>
          <t>M</t>
        </is>
      </c>
      <c r="G429" t="inlineStr">
        <is>
          <t>7.26.01843</t>
        </is>
      </c>
      <c r="H429" t="inlineStr">
        <is>
          <t>Prospect</t>
        </is>
      </c>
      <c r="I429" t="n">
        <v>59</v>
      </c>
      <c r="J429" t="n">
        <v>239</v>
      </c>
      <c r="K429" t="inlineStr">
        <is>
          <t>Forklift 3 Ton (2 Unit) _ 2 Tahun _ SPH Dikirim ke User</t>
        </is>
      </c>
    </row>
    <row r="430">
      <c r="A430" t="inlineStr">
        <is>
          <t>Fuji</t>
        </is>
      </c>
      <c r="B430" t="inlineStr"/>
      <c r="C430" t="inlineStr">
        <is>
          <t>Andreas</t>
        </is>
      </c>
      <c r="D430" t="inlineStr">
        <is>
          <t>PUSAKAPAN</t>
        </is>
      </c>
      <c r="E430" t="inlineStr">
        <is>
          <t>PT PUSAKA ARTHA TAMA</t>
        </is>
      </c>
      <c r="F430" t="inlineStr">
        <is>
          <t>M</t>
        </is>
      </c>
      <c r="G430" t="inlineStr">
        <is>
          <t>7.26.01846</t>
        </is>
      </c>
      <c r="H430" t="inlineStr">
        <is>
          <t>Prospect</t>
        </is>
      </c>
      <c r="I430" t="n">
        <v>59</v>
      </c>
      <c r="J430" t="n">
        <v>239</v>
      </c>
      <c r="K430" t="inlineStr">
        <is>
          <t>Forklift 3 Ton (2 Unit) _ 2 Tahun _ SPH Dikirim ke User</t>
        </is>
      </c>
    </row>
    <row r="431">
      <c r="A431" t="inlineStr">
        <is>
          <t>Fuji</t>
        </is>
      </c>
      <c r="B431" t="inlineStr"/>
      <c r="C431" t="inlineStr">
        <is>
          <t>Andreas</t>
        </is>
      </c>
      <c r="D431" t="inlineStr">
        <is>
          <t>PANSEMAR</t>
        </is>
      </c>
      <c r="E431" t="inlineStr">
        <is>
          <t>PT PANDAWA ARTHA NUSANTARA</t>
        </is>
      </c>
      <c r="F431" t="inlineStr">
        <is>
          <t>M</t>
        </is>
      </c>
      <c r="G431" t="inlineStr">
        <is>
          <t>7.26.01851</t>
        </is>
      </c>
      <c r="H431" t="inlineStr">
        <is>
          <t>Prospect</t>
        </is>
      </c>
      <c r="I431" t="n">
        <v>79</v>
      </c>
      <c r="J431" t="n">
        <v>259</v>
      </c>
      <c r="K431" t="inlineStr">
        <is>
          <t>Forklift 3 Ton (2 Unit) _ 2 Tahun _ SPH Dikirim ke User</t>
        </is>
      </c>
    </row>
    <row r="432">
      <c r="A432" t="inlineStr">
        <is>
          <t>Fuji</t>
        </is>
      </c>
      <c r="B432" t="inlineStr"/>
      <c r="C432" t="inlineStr">
        <is>
          <t>Andreas</t>
        </is>
      </c>
      <c r="D432" t="inlineStr">
        <is>
          <t>GIHARALOG</t>
        </is>
      </c>
      <c r="E432" t="inlineStr">
        <is>
          <t>PT GIHARA LOGISTIK INDONESIA</t>
        </is>
      </c>
      <c r="F432" t="inlineStr">
        <is>
          <t>S</t>
        </is>
      </c>
      <c r="G432" t="inlineStr">
        <is>
          <t>7.26.01854</t>
        </is>
      </c>
      <c r="H432" t="inlineStr">
        <is>
          <t>Leads</t>
        </is>
      </c>
      <c r="I432" t="n">
        <v>0</v>
      </c>
      <c r="J432" t="n">
        <v>163</v>
      </c>
      <c r="K432" t="inlineStr">
        <is>
          <t>Reach Truck 1.5 Ton (1 Unit) _ 1 Tahun _ Canvassing awal &amp; Sales Call</t>
        </is>
      </c>
    </row>
    <row r="433">
      <c r="A433" t="inlineStr">
        <is>
          <t>Fuji</t>
        </is>
      </c>
      <c r="B433" t="inlineStr"/>
      <c r="C433" t="inlineStr">
        <is>
          <t>Andreas</t>
        </is>
      </c>
      <c r="D433" t="inlineStr">
        <is>
          <t>WIDJIDARMA</t>
        </is>
      </c>
      <c r="E433" t="inlineStr">
        <is>
          <t>PT WIDJI DARMA MURTI</t>
        </is>
      </c>
      <c r="F433" t="inlineStr">
        <is>
          <t>M</t>
        </is>
      </c>
      <c r="G433" t="inlineStr">
        <is>
          <t>7.26.01855</t>
        </is>
      </c>
      <c r="H433" t="inlineStr">
        <is>
          <t>Leads</t>
        </is>
      </c>
      <c r="I433" t="n">
        <v>0</v>
      </c>
      <c r="J433" t="n">
        <v>163</v>
      </c>
      <c r="K433" t="inlineStr">
        <is>
          <t>Reach Truck 1.5 Ton (1 Unit) _ 1 Tahun _ Canvassing awal &amp; Sales Call</t>
        </is>
      </c>
    </row>
    <row r="434">
      <c r="A434" t="inlineStr">
        <is>
          <t>Fuji</t>
        </is>
      </c>
      <c r="B434" t="inlineStr"/>
      <c r="C434" t="inlineStr">
        <is>
          <t>Andreas</t>
        </is>
      </c>
      <c r="D434" t="inlineStr">
        <is>
          <t>DSP</t>
        </is>
      </c>
      <c r="E434" t="inlineStr">
        <is>
          <t>PT DUTA SARANA PERKASA</t>
        </is>
      </c>
      <c r="F434" t="inlineStr">
        <is>
          <t>M</t>
        </is>
      </c>
      <c r="G434" t="inlineStr">
        <is>
          <t>7.26.01856</t>
        </is>
      </c>
      <c r="H434" t="inlineStr">
        <is>
          <t>Prospect</t>
        </is>
      </c>
      <c r="I434" t="n">
        <v>85</v>
      </c>
      <c r="J434" t="n">
        <v>265</v>
      </c>
      <c r="K434" t="inlineStr">
        <is>
          <t>Forklift 3 Ton (2 Unit) _ 2 Tahun _ SPH Dikirim ke User</t>
        </is>
      </c>
    </row>
    <row r="435">
      <c r="A435" t="inlineStr">
        <is>
          <t>Fuji</t>
        </is>
      </c>
      <c r="B435" t="inlineStr"/>
      <c r="C435" t="inlineStr">
        <is>
          <t>Andreas</t>
        </is>
      </c>
      <c r="D435" t="inlineStr">
        <is>
          <t>MITSUBISHI</t>
        </is>
      </c>
      <c r="E435" t="inlineStr">
        <is>
          <t>PT MITSUBISHI POWER INDONESIA</t>
        </is>
      </c>
      <c r="F435" t="inlineStr">
        <is>
          <t>L</t>
        </is>
      </c>
      <c r="G435" t="inlineStr">
        <is>
          <t>7.26.01857</t>
        </is>
      </c>
      <c r="H435" t="inlineStr">
        <is>
          <t>Prospect</t>
        </is>
      </c>
      <c r="I435" t="n">
        <v>74</v>
      </c>
      <c r="J435" t="n">
        <v>254</v>
      </c>
      <c r="K435" t="inlineStr">
        <is>
          <t>Forklift 3 Ton (2 Unit) _ 2 Tahun _ SPH Dikirim ke User</t>
        </is>
      </c>
    </row>
    <row r="436">
      <c r="A436" t="inlineStr">
        <is>
          <t>Fuji</t>
        </is>
      </c>
      <c r="B436" t="inlineStr"/>
      <c r="C436" t="inlineStr">
        <is>
          <t>Andreas</t>
        </is>
      </c>
      <c r="D436" t="inlineStr">
        <is>
          <t>GREATGIANT</t>
        </is>
      </c>
      <c r="E436" t="inlineStr">
        <is>
          <t>GREAT GIANT PINEAPPLE</t>
        </is>
      </c>
      <c r="F436" t="inlineStr"/>
      <c r="G436" t="inlineStr">
        <is>
          <t>7.26.01858</t>
        </is>
      </c>
      <c r="H436" t="inlineStr">
        <is>
          <t>Leads</t>
        </is>
      </c>
      <c r="I436" t="n">
        <v>0</v>
      </c>
      <c r="J436" t="n">
        <v>165</v>
      </c>
      <c r="K436" t="inlineStr">
        <is>
          <t>Reach Truck 1.5 Ton (1 Unit) _ 1 Tahun _ Canvassing awal &amp; Sales Call</t>
        </is>
      </c>
    </row>
    <row r="437">
      <c r="A437" t="inlineStr">
        <is>
          <t>Fuji</t>
        </is>
      </c>
      <c r="B437" t="inlineStr"/>
      <c r="C437" t="inlineStr">
        <is>
          <t>Andreas</t>
        </is>
      </c>
      <c r="D437" t="inlineStr">
        <is>
          <t>DOOSANHEA</t>
        </is>
      </c>
      <c r="E437" t="inlineStr">
        <is>
          <t>PT DOOSAN HEAVY INDUSTRIES INDONESIA</t>
        </is>
      </c>
      <c r="F437" t="inlineStr">
        <is>
          <t>L</t>
        </is>
      </c>
      <c r="G437" t="inlineStr">
        <is>
          <t>7.26.01859</t>
        </is>
      </c>
      <c r="H437" t="inlineStr">
        <is>
          <t>Leads</t>
        </is>
      </c>
      <c r="I437" t="n">
        <v>0</v>
      </c>
      <c r="J437" t="n">
        <v>168</v>
      </c>
      <c r="K437" t="inlineStr">
        <is>
          <t>Reach Truck 1.5 Ton (1 Unit) _ 1 Tahun _ Canvassing awal &amp; Sales Call</t>
        </is>
      </c>
    </row>
    <row r="438">
      <c r="A438" t="inlineStr">
        <is>
          <t>Fuji</t>
        </is>
      </c>
      <c r="B438" t="inlineStr"/>
      <c r="C438" t="inlineStr">
        <is>
          <t>Andreas</t>
        </is>
      </c>
      <c r="D438" t="inlineStr">
        <is>
          <t>ANDALANNEL</t>
        </is>
      </c>
      <c r="E438" t="inlineStr">
        <is>
          <t>PT ANDALAN NELAYAN INDONESIA</t>
        </is>
      </c>
      <c r="F438" t="inlineStr">
        <is>
          <t>L</t>
        </is>
      </c>
      <c r="G438" t="inlineStr">
        <is>
          <t>7.26.01861</t>
        </is>
      </c>
      <c r="H438" t="inlineStr">
        <is>
          <t>Prospect</t>
        </is>
      </c>
      <c r="I438" t="n">
        <v>79</v>
      </c>
      <c r="J438" t="n">
        <v>259</v>
      </c>
      <c r="K438" t="inlineStr">
        <is>
          <t>Forklift 3 Ton (2 Unit) _ 2 Tahun _ SPH Dikirim ke User</t>
        </is>
      </c>
    </row>
    <row r="439">
      <c r="A439" t="inlineStr">
        <is>
          <t>Fuji</t>
        </is>
      </c>
      <c r="B439" t="inlineStr"/>
      <c r="C439" t="inlineStr">
        <is>
          <t>Andreas</t>
        </is>
      </c>
      <c r="D439" t="inlineStr">
        <is>
          <t>KASSEMARAN</t>
        </is>
      </c>
      <c r="E439" t="inlineStr">
        <is>
          <t>PT KREASI ANGGUR SEJAHTERA</t>
        </is>
      </c>
      <c r="F439" t="inlineStr">
        <is>
          <t>M</t>
        </is>
      </c>
      <c r="G439" t="inlineStr">
        <is>
          <t>7.26.01865</t>
        </is>
      </c>
      <c r="H439" t="inlineStr">
        <is>
          <t>Prospect</t>
        </is>
      </c>
      <c r="I439" t="n">
        <v>81</v>
      </c>
      <c r="J439" t="n">
        <v>261</v>
      </c>
      <c r="K439" t="inlineStr">
        <is>
          <t>Forklift 3 Ton (2 Unit) _ 2 Tahun _ SPH Dikirim ke User</t>
        </is>
      </c>
    </row>
    <row r="440">
      <c r="A440" t="inlineStr">
        <is>
          <t>Fuji</t>
        </is>
      </c>
      <c r="B440" t="inlineStr"/>
      <c r="C440" t="inlineStr">
        <is>
          <t>Andreas</t>
        </is>
      </c>
      <c r="D440" t="inlineStr">
        <is>
          <t>CLARIANTKU</t>
        </is>
      </c>
      <c r="E440" t="inlineStr">
        <is>
          <t>CLARIANT KUJANG CATALYSTS</t>
        </is>
      </c>
      <c r="F440" t="inlineStr">
        <is>
          <t>S</t>
        </is>
      </c>
      <c r="G440" t="inlineStr">
        <is>
          <t>7.26.01866</t>
        </is>
      </c>
      <c r="H440" t="inlineStr">
        <is>
          <t>Leads</t>
        </is>
      </c>
      <c r="I440" t="n">
        <v>0</v>
      </c>
      <c r="J440" t="n">
        <v>175</v>
      </c>
      <c r="K440" t="inlineStr">
        <is>
          <t>Reach Truck 1.5 Ton (1 Unit) _ 1 Tahun _ Canvassing awal &amp; Sales Call</t>
        </is>
      </c>
    </row>
    <row r="441">
      <c r="A441" t="inlineStr">
        <is>
          <t>Fuji</t>
        </is>
      </c>
      <c r="B441" t="inlineStr"/>
      <c r="C441" t="inlineStr">
        <is>
          <t>Andreas</t>
        </is>
      </c>
      <c r="D441" t="inlineStr">
        <is>
          <t>ASMOINDO</t>
        </is>
      </c>
      <c r="E441" t="inlineStr">
        <is>
          <t>ASMO INDONESIA</t>
        </is>
      </c>
      <c r="F441" t="inlineStr">
        <is>
          <t>S</t>
        </is>
      </c>
      <c r="G441" t="inlineStr">
        <is>
          <t>7.26.01867</t>
        </is>
      </c>
      <c r="H441" t="inlineStr">
        <is>
          <t>Leads</t>
        </is>
      </c>
      <c r="I441" t="n">
        <v>0</v>
      </c>
      <c r="J441" t="n">
        <v>171</v>
      </c>
      <c r="K441" t="inlineStr">
        <is>
          <t>Reach Truck 1.5 Ton (1 Unit) _ 1 Tahun _ Canvassing awal &amp; Sales Call</t>
        </is>
      </c>
    </row>
    <row r="442">
      <c r="A442" t="inlineStr">
        <is>
          <t>Fuji</t>
        </is>
      </c>
      <c r="B442" t="inlineStr"/>
      <c r="C442" t="inlineStr">
        <is>
          <t>Andreas</t>
        </is>
      </c>
      <c r="D442" t="inlineStr">
        <is>
          <t>TOYOTABOS</t>
        </is>
      </c>
      <c r="E442" t="inlineStr">
        <is>
          <t>PT TOYOTA BOSHOKU DEVICE INDONESIA</t>
        </is>
      </c>
      <c r="F442" t="inlineStr">
        <is>
          <t>M</t>
        </is>
      </c>
      <c r="G442" t="inlineStr">
        <is>
          <t>7.26.01868</t>
        </is>
      </c>
      <c r="H442" t="inlineStr">
        <is>
          <t>Prospect</t>
        </is>
      </c>
      <c r="I442" t="n">
        <v>82</v>
      </c>
      <c r="J442" t="n">
        <v>262</v>
      </c>
      <c r="K442" t="inlineStr">
        <is>
          <t>Forklift 3 Ton (2 Unit) _ 2 Tahun _ SPH Dikirim ke User</t>
        </is>
      </c>
    </row>
    <row r="443">
      <c r="A443" t="inlineStr">
        <is>
          <t>Fuji</t>
        </is>
      </c>
      <c r="B443" t="inlineStr"/>
      <c r="C443" t="inlineStr">
        <is>
          <t>Andreas</t>
        </is>
      </c>
      <c r="D443" t="inlineStr">
        <is>
          <t>POSCINTSIA</t>
        </is>
      </c>
      <c r="E443" t="inlineStr">
        <is>
          <t>PT POSCO INTERNATIONAL INDONESIA</t>
        </is>
      </c>
      <c r="F443" t="inlineStr">
        <is>
          <t>S</t>
        </is>
      </c>
      <c r="G443" t="inlineStr">
        <is>
          <t>7.26.01870</t>
        </is>
      </c>
      <c r="H443" t="inlineStr">
        <is>
          <t>Leads</t>
        </is>
      </c>
      <c r="I443" t="n">
        <v>0</v>
      </c>
      <c r="J443" t="n">
        <v>175</v>
      </c>
      <c r="K443" t="inlineStr">
        <is>
          <t>Reach Truck 1.5 Ton (1 Unit) _ 1 Tahun _ Canvassing awal &amp; Sales Call</t>
        </is>
      </c>
    </row>
    <row r="444">
      <c r="A444" t="inlineStr">
        <is>
          <t>Fuji</t>
        </is>
      </c>
      <c r="B444" t="inlineStr"/>
      <c r="C444" t="inlineStr">
        <is>
          <t>Andreas</t>
        </is>
      </c>
      <c r="D444" t="inlineStr">
        <is>
          <t>PAMAPSD</t>
        </is>
      </c>
      <c r="E444" t="inlineStr">
        <is>
          <t>PAMAPERSADA NUSANTARA</t>
        </is>
      </c>
      <c r="F444" t="inlineStr">
        <is>
          <t>M</t>
        </is>
      </c>
      <c r="G444" t="inlineStr">
        <is>
          <t>7.26.01873</t>
        </is>
      </c>
      <c r="H444" t="inlineStr">
        <is>
          <t>Leads</t>
        </is>
      </c>
      <c r="I444" t="n">
        <v>0</v>
      </c>
      <c r="J444" t="n">
        <v>176</v>
      </c>
      <c r="K444" t="inlineStr">
        <is>
          <t>Reach Truck 1.5 Ton (1 Unit) _ 1 Tahun _ Canvassing awal &amp; Sales Call</t>
        </is>
      </c>
    </row>
    <row r="445">
      <c r="A445" t="inlineStr">
        <is>
          <t>Fuji</t>
        </is>
      </c>
      <c r="B445" t="inlineStr"/>
      <c r="C445" t="inlineStr">
        <is>
          <t>Andreas</t>
        </is>
      </c>
      <c r="D445" t="inlineStr">
        <is>
          <t>AJINOMOTO</t>
        </is>
      </c>
      <c r="E445" t="inlineStr">
        <is>
          <t>AJINOMOTO INDONESIA</t>
        </is>
      </c>
      <c r="F445" t="inlineStr"/>
      <c r="G445" t="inlineStr">
        <is>
          <t>7.26.01875</t>
        </is>
      </c>
      <c r="H445" t="inlineStr">
        <is>
          <t>Leads</t>
        </is>
      </c>
      <c r="I445" t="n">
        <v>0</v>
      </c>
      <c r="J445" t="n">
        <v>177</v>
      </c>
      <c r="K445" t="inlineStr">
        <is>
          <t>Reach Truck 1.5 Ton (1 Unit) _ 1 Tahun _ Canvassing awal &amp; Sales Call</t>
        </is>
      </c>
    </row>
  </sheetData>
  <dataValidations count="1">
    <dataValidation sqref="H2:H1000" showDropDown="0" showInputMessage="0" showErrorMessage="0" allowBlank="1" type="list">
      <formula1>Lists_Dropdown!$A$2:$A$6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1" t="inlineStr">
        <is>
          <t>Status Progress</t>
        </is>
      </c>
      <c r="B1" s="11" t="inlineStr">
        <is>
          <t>Jenis Unit Contoh</t>
        </is>
      </c>
      <c r="C1" s="11" t="inlineStr">
        <is>
          <t>Durasi Sewa Contoh</t>
        </is>
      </c>
    </row>
    <row r="2">
      <c r="A2" t="inlineStr">
        <is>
          <t>Leads</t>
        </is>
      </c>
      <c r="B2" t="inlineStr">
        <is>
          <t>Forklift Diesel</t>
        </is>
      </c>
      <c r="C2" t="inlineStr">
        <is>
          <t>1 Tahun</t>
        </is>
      </c>
    </row>
    <row r="3">
      <c r="A3" t="inlineStr">
        <is>
          <t>Prospect</t>
        </is>
      </c>
      <c r="B3" t="inlineStr">
        <is>
          <t>Forklift Electric</t>
        </is>
      </c>
      <c r="C3" t="inlineStr">
        <is>
          <t>2 Tahun</t>
        </is>
      </c>
    </row>
    <row r="4">
      <c r="A4" t="inlineStr">
        <is>
          <t>Deal / Won</t>
        </is>
      </c>
      <c r="B4" t="inlineStr">
        <is>
          <t>Reach Truck</t>
        </is>
      </c>
      <c r="C4" t="inlineStr">
        <is>
          <t>3 Tahun</t>
        </is>
      </c>
    </row>
    <row r="5">
      <c r="A5" t="inlineStr">
        <is>
          <t>Lost</t>
        </is>
      </c>
      <c r="B5" t="inlineStr">
        <is>
          <t>Towing Tractor</t>
        </is>
      </c>
      <c r="C5" t="inlineStr">
        <is>
          <t>5 Tahun</t>
        </is>
      </c>
    </row>
    <row r="6">
      <c r="A6" t="inlineStr">
        <is>
          <t>Idle</t>
        </is>
      </c>
      <c r="B6" t="inlineStr">
        <is>
          <t>Pallet Stacker</t>
        </is>
      </c>
      <c r="C6" t="inlineStr">
        <is>
          <t>Beli Putus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2026-09-28T01:55:55Z</dcterms:created>
  <dcterms:modified xmlns:dcterms="http://purl.org/dc/terms/" xmlns:xsi="http://www.w3.org/2001/XMLSchema-instance" xsi:type="dcterms:W3CDTF">2026-09-28T01:55:55Z</dcterms:modified>
</cp:coreProperties>
</file>